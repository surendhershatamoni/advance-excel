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ren\Downloads\"/>
    </mc:Choice>
  </mc:AlternateContent>
  <bookViews>
    <workbookView xWindow="28680" yWindow="-120" windowWidth="29040" windowHeight="15720" activeTab="4"/>
  </bookViews>
  <sheets>
    <sheet name="Data" sheetId="1" r:id="rId1"/>
    <sheet name="d.s" sheetId="2" r:id="rId2"/>
    <sheet name="regressition" sheetId="5" r:id="rId3"/>
    <sheet name="dashboard" sheetId="6" r:id="rId4"/>
    <sheet name="Sheet2" sheetId="8" r:id="rId5"/>
  </sheets>
  <calcPr calcId="152511"/>
</workbook>
</file>

<file path=xl/calcChain.xml><?xml version="1.0" encoding="utf-8"?>
<calcChain xmlns="http://schemas.openxmlformats.org/spreadsheetml/2006/main">
  <c r="E17" i="6" l="1"/>
  <c r="H25" i="5"/>
  <c r="F25" i="5"/>
  <c r="D25" i="5"/>
  <c r="M15" i="2" l="1"/>
  <c r="M16" i="2"/>
  <c r="M13" i="2"/>
  <c r="M12" i="2"/>
  <c r="K16" i="2"/>
  <c r="K15" i="2"/>
  <c r="K13" i="2"/>
  <c r="K12" i="2"/>
  <c r="I13" i="2"/>
  <c r="M9" i="2"/>
  <c r="M8" i="2"/>
  <c r="M7" i="2"/>
  <c r="M5" i="2"/>
  <c r="M4" i="2"/>
  <c r="M3" i="2"/>
  <c r="K9" i="2"/>
  <c r="K8" i="2"/>
  <c r="K5" i="2"/>
  <c r="K7" i="2"/>
  <c r="K10" i="2" s="1"/>
  <c r="K4" i="2"/>
  <c r="K3" i="2"/>
  <c r="K2" i="2"/>
  <c r="M2" i="2"/>
  <c r="M10" i="2" s="1"/>
  <c r="I16" i="2"/>
  <c r="I15" i="2"/>
  <c r="I12" i="2"/>
  <c r="I9" i="2"/>
  <c r="I8" i="2"/>
  <c r="G8" i="2"/>
  <c r="I7" i="2"/>
  <c r="I10" i="2" s="1"/>
  <c r="I5" i="2"/>
  <c r="I4" i="2"/>
  <c r="I3" i="2"/>
  <c r="I2" i="2"/>
  <c r="G2" i="2"/>
  <c r="G3" i="2"/>
  <c r="G4" i="2"/>
  <c r="G5" i="2"/>
  <c r="G7" i="2"/>
  <c r="G9" i="2"/>
  <c r="G12" i="2"/>
  <c r="G13" i="2"/>
  <c r="G16" i="2"/>
  <c r="G15" i="2"/>
  <c r="G10" i="2" l="1"/>
  <c r="B25" i="5"/>
  <c r="H17" i="6" s="1"/>
  <c r="I25" i="5"/>
  <c r="G25" i="5"/>
  <c r="E25" i="5"/>
  <c r="C25" i="5"/>
</calcChain>
</file>

<file path=xl/sharedStrings.xml><?xml version="1.0" encoding="utf-8"?>
<sst xmlns="http://schemas.openxmlformats.org/spreadsheetml/2006/main" count="517" uniqueCount="454">
  <si>
    <t>Employee ID</t>
  </si>
  <si>
    <t>Performance</t>
  </si>
  <si>
    <t>IQ Level</t>
  </si>
  <si>
    <t>Motivation</t>
  </si>
  <si>
    <t>Annual Salary</t>
  </si>
  <si>
    <t>AMZBLR1</t>
  </si>
  <si>
    <t>AMZBLR2</t>
  </si>
  <si>
    <t>AMZBLR3</t>
  </si>
  <si>
    <t>AMZBLR4</t>
  </si>
  <si>
    <t>AMZBLR5</t>
  </si>
  <si>
    <t>AMZBLR6</t>
  </si>
  <si>
    <t>AMZBLR7</t>
  </si>
  <si>
    <t>AMZBLR8</t>
  </si>
  <si>
    <t>AMZBLR9</t>
  </si>
  <si>
    <t>AMZBLR10</t>
  </si>
  <si>
    <t>AMZBLR11</t>
  </si>
  <si>
    <t>AMZBLR12</t>
  </si>
  <si>
    <t>AMZBLR13</t>
  </si>
  <si>
    <t>AMZBLR14</t>
  </si>
  <si>
    <t>AMZBLR15</t>
  </si>
  <si>
    <t>AMZBLR16</t>
  </si>
  <si>
    <t>AMZBLR17</t>
  </si>
  <si>
    <t>AMZBLR18</t>
  </si>
  <si>
    <t>AMZBLR19</t>
  </si>
  <si>
    <t>AMZBLR20</t>
  </si>
  <si>
    <t>AMZBLR21</t>
  </si>
  <si>
    <t>AMZBLR22</t>
  </si>
  <si>
    <t>AMZBLR23</t>
  </si>
  <si>
    <t>AMZBLR24</t>
  </si>
  <si>
    <t>AMZBLR25</t>
  </si>
  <si>
    <t>AMZBLR26</t>
  </si>
  <si>
    <t>AMZBLR27</t>
  </si>
  <si>
    <t>AMZBLR28</t>
  </si>
  <si>
    <t>AMZBLR29</t>
  </si>
  <si>
    <t>AMZBLR30</t>
  </si>
  <si>
    <t>AMZBLR31</t>
  </si>
  <si>
    <t>AMZBLR32</t>
  </si>
  <si>
    <t>AMZBLR33</t>
  </si>
  <si>
    <t>AMZBLR34</t>
  </si>
  <si>
    <t>AMZBLR35</t>
  </si>
  <si>
    <t>AMZBLR36</t>
  </si>
  <si>
    <t>AMZBLR37</t>
  </si>
  <si>
    <t>AMZBLR38</t>
  </si>
  <si>
    <t>AMZBLR39</t>
  </si>
  <si>
    <t>AMZBLR40</t>
  </si>
  <si>
    <t>AMZBLR41</t>
  </si>
  <si>
    <t>AMZBLR42</t>
  </si>
  <si>
    <t>AMZBLR43</t>
  </si>
  <si>
    <t>AMZBLR44</t>
  </si>
  <si>
    <t>AMZBLR45</t>
  </si>
  <si>
    <t>AMZBLR46</t>
  </si>
  <si>
    <t>AMZBLR47</t>
  </si>
  <si>
    <t>AMZBLR48</t>
  </si>
  <si>
    <t>AMZBLR49</t>
  </si>
  <si>
    <t>AMZBLR50</t>
  </si>
  <si>
    <t>AMZBLR51</t>
  </si>
  <si>
    <t>AMZBLR52</t>
  </si>
  <si>
    <t>AMZBLR53</t>
  </si>
  <si>
    <t>AMZBLR54</t>
  </si>
  <si>
    <t>AMZBLR55</t>
  </si>
  <si>
    <t>AMZBLR56</t>
  </si>
  <si>
    <t>AMZBLR57</t>
  </si>
  <si>
    <t>AMZBLR58</t>
  </si>
  <si>
    <t>AMZBLR59</t>
  </si>
  <si>
    <t>AMZBLR60</t>
  </si>
  <si>
    <t>AMZBLR61</t>
  </si>
  <si>
    <t>AMZBLR62</t>
  </si>
  <si>
    <t>AMZBLR63</t>
  </si>
  <si>
    <t>AMZBLR64</t>
  </si>
  <si>
    <t>AMZBLR65</t>
  </si>
  <si>
    <t>AMZBLR66</t>
  </si>
  <si>
    <t>AMZBLR67</t>
  </si>
  <si>
    <t>AMZBLR68</t>
  </si>
  <si>
    <t>AMZBLR69</t>
  </si>
  <si>
    <t>AMZBLR70</t>
  </si>
  <si>
    <t>AMZBLR71</t>
  </si>
  <si>
    <t>AMZBLR72</t>
  </si>
  <si>
    <t>AMZBLR73</t>
  </si>
  <si>
    <t>AMZBLR74</t>
  </si>
  <si>
    <t>AMZBLR75</t>
  </si>
  <si>
    <t>AMZBLR76</t>
  </si>
  <si>
    <t>AMZBLR77</t>
  </si>
  <si>
    <t>AMZBLR78</t>
  </si>
  <si>
    <t>AMZBLR79</t>
  </si>
  <si>
    <t>AMZBLR80</t>
  </si>
  <si>
    <t>AMZBLR81</t>
  </si>
  <si>
    <t>AMZBLR82</t>
  </si>
  <si>
    <t>AMZBLR83</t>
  </si>
  <si>
    <t>AMZBLR84</t>
  </si>
  <si>
    <t>AMZBLR85</t>
  </si>
  <si>
    <t>AMZBLR86</t>
  </si>
  <si>
    <t>AMZBLR87</t>
  </si>
  <si>
    <t>AMZBLR88</t>
  </si>
  <si>
    <t>AMZBLR89</t>
  </si>
  <si>
    <t>AMZBLR90</t>
  </si>
  <si>
    <t>AMZBLR91</t>
  </si>
  <si>
    <t>AMZBLR92</t>
  </si>
  <si>
    <t>AMZBLR93</t>
  </si>
  <si>
    <t>AMZBLR94</t>
  </si>
  <si>
    <t>AMZBLR95</t>
  </si>
  <si>
    <t>AMZBLR96</t>
  </si>
  <si>
    <t>AMZBLR97</t>
  </si>
  <si>
    <t>AMZBLR98</t>
  </si>
  <si>
    <t>AMZBLR99</t>
  </si>
  <si>
    <t>AMZBLR100</t>
  </si>
  <si>
    <t>AMZBLR101</t>
  </si>
  <si>
    <t>AMZBLR102</t>
  </si>
  <si>
    <t>AMZBLR103</t>
  </si>
  <si>
    <t>AMZBLR104</t>
  </si>
  <si>
    <t>AMZBLR105</t>
  </si>
  <si>
    <t>AMZBLR106</t>
  </si>
  <si>
    <t>AMZBLR107</t>
  </si>
  <si>
    <t>AMZBLR108</t>
  </si>
  <si>
    <t>AMZBLR109</t>
  </si>
  <si>
    <t>AMZBLR110</t>
  </si>
  <si>
    <t>AMZBLR111</t>
  </si>
  <si>
    <t>AMZBLR112</t>
  </si>
  <si>
    <t>AMZBLR113</t>
  </si>
  <si>
    <t>AMZBLR114</t>
  </si>
  <si>
    <t>AMZBLR115</t>
  </si>
  <si>
    <t>AMZBLR116</t>
  </si>
  <si>
    <t>AMZBLR117</t>
  </si>
  <si>
    <t>AMZBLR118</t>
  </si>
  <si>
    <t>AMZBLR119</t>
  </si>
  <si>
    <t>AMZBLR120</t>
  </si>
  <si>
    <t>AMZBLR121</t>
  </si>
  <si>
    <t>AMZBLR122</t>
  </si>
  <si>
    <t>AMZBLR123</t>
  </si>
  <si>
    <t>AMZBLR124</t>
  </si>
  <si>
    <t>AMZBLR125</t>
  </si>
  <si>
    <t>AMZBLR126</t>
  </si>
  <si>
    <t>AMZBLR127</t>
  </si>
  <si>
    <t>AMZBLR128</t>
  </si>
  <si>
    <t>AMZBLR129</t>
  </si>
  <si>
    <t>AMZBLR130</t>
  </si>
  <si>
    <t>AMZBLR131</t>
  </si>
  <si>
    <t>AMZBLR132</t>
  </si>
  <si>
    <t>AMZBLR133</t>
  </si>
  <si>
    <t>AMZBLR134</t>
  </si>
  <si>
    <t>AMZBLR135</t>
  </si>
  <si>
    <t>AMZBLR136</t>
  </si>
  <si>
    <t>AMZBLR137</t>
  </si>
  <si>
    <t>AMZBLR138</t>
  </si>
  <si>
    <t>AMZBLR139</t>
  </si>
  <si>
    <t>AMZBLR140</t>
  </si>
  <si>
    <t>AMZBLR141</t>
  </si>
  <si>
    <t>AMZBLR142</t>
  </si>
  <si>
    <t>AMZBLR143</t>
  </si>
  <si>
    <t>AMZBLR144</t>
  </si>
  <si>
    <t>AMZBLR145</t>
  </si>
  <si>
    <t>AMZBLR146</t>
  </si>
  <si>
    <t>AMZBLR147</t>
  </si>
  <si>
    <t>AMZBLR148</t>
  </si>
  <si>
    <t>AMZBLR149</t>
  </si>
  <si>
    <t>AMZBLR150</t>
  </si>
  <si>
    <t>AMZBLR151</t>
  </si>
  <si>
    <t>AMZBLR152</t>
  </si>
  <si>
    <t>AMZBLR153</t>
  </si>
  <si>
    <t>AMZBLR154</t>
  </si>
  <si>
    <t>AMZBLR155</t>
  </si>
  <si>
    <t>AMZBLR156</t>
  </si>
  <si>
    <t>AMZBLR157</t>
  </si>
  <si>
    <t>AMZBLR158</t>
  </si>
  <si>
    <t>AMZBLR159</t>
  </si>
  <si>
    <t>AMZBLR160</t>
  </si>
  <si>
    <t>AMZBLR161</t>
  </si>
  <si>
    <t>AMZBLR162</t>
  </si>
  <si>
    <t>AMZBLR163</t>
  </si>
  <si>
    <t>AMZBLR164</t>
  </si>
  <si>
    <t>AMZBLR165</t>
  </si>
  <si>
    <t>AMZBLR166</t>
  </si>
  <si>
    <t>AMZBLR167</t>
  </si>
  <si>
    <t>AMZBLR168</t>
  </si>
  <si>
    <t>AMZBLR169</t>
  </si>
  <si>
    <t>AMZBLR170</t>
  </si>
  <si>
    <t>AMZBLR171</t>
  </si>
  <si>
    <t>AMZBLR172</t>
  </si>
  <si>
    <t>AMZBLR173</t>
  </si>
  <si>
    <t>AMZBLR174</t>
  </si>
  <si>
    <t>AMZBLR175</t>
  </si>
  <si>
    <t>AMZBLR176</t>
  </si>
  <si>
    <t>AMZBLR177</t>
  </si>
  <si>
    <t>AMZBLR178</t>
  </si>
  <si>
    <t>AMZBLR179</t>
  </si>
  <si>
    <t>AMZBLR180</t>
  </si>
  <si>
    <t>AMZBLR181</t>
  </si>
  <si>
    <t>AMZBLR182</t>
  </si>
  <si>
    <t>AMZBLR183</t>
  </si>
  <si>
    <t>AMZBLR184</t>
  </si>
  <si>
    <t>AMZBLR185</t>
  </si>
  <si>
    <t>AMZBLR186</t>
  </si>
  <si>
    <t>AMZBLR187</t>
  </si>
  <si>
    <t>AMZBLR188</t>
  </si>
  <si>
    <t>AMZBLR189</t>
  </si>
  <si>
    <t>AMZBLR190</t>
  </si>
  <si>
    <t>AMZBLR191</t>
  </si>
  <si>
    <t>AMZBLR192</t>
  </si>
  <si>
    <t>AMZBLR193</t>
  </si>
  <si>
    <t>AMZBLR194</t>
  </si>
  <si>
    <t>AMZBLR195</t>
  </si>
  <si>
    <t>AMZBLR196</t>
  </si>
  <si>
    <t>AMZBLR197</t>
  </si>
  <si>
    <t>AMZBLR198</t>
  </si>
  <si>
    <t>AMZBLR199</t>
  </si>
  <si>
    <t>AMZBLR200</t>
  </si>
  <si>
    <t>AMZBLR201</t>
  </si>
  <si>
    <t>AMZBLR202</t>
  </si>
  <si>
    <t>AMZBLR203</t>
  </si>
  <si>
    <t>AMZBLR204</t>
  </si>
  <si>
    <t>AMZBLR205</t>
  </si>
  <si>
    <t>AMZBLR206</t>
  </si>
  <si>
    <t>AMZBLR207</t>
  </si>
  <si>
    <t>AMZBLR208</t>
  </si>
  <si>
    <t>AMZBLR209</t>
  </si>
  <si>
    <t>AMZBLR210</t>
  </si>
  <si>
    <t>AMZBLR211</t>
  </si>
  <si>
    <t>AMZBLR212</t>
  </si>
  <si>
    <t>AMZBLR213</t>
  </si>
  <si>
    <t>AMZBLR214</t>
  </si>
  <si>
    <t>AMZBLR215</t>
  </si>
  <si>
    <t>AMZBLR216</t>
  </si>
  <si>
    <t>AMZBLR217</t>
  </si>
  <si>
    <t>AMZBLR218</t>
  </si>
  <si>
    <t>AMZBLR219</t>
  </si>
  <si>
    <t>AMZBLR220</t>
  </si>
  <si>
    <t>AMZBLR221</t>
  </si>
  <si>
    <t>AMZBLR222</t>
  </si>
  <si>
    <t>AMZBLR223</t>
  </si>
  <si>
    <t>AMZBLR224</t>
  </si>
  <si>
    <t>AMZBLR225</t>
  </si>
  <si>
    <t>AMZBLR226</t>
  </si>
  <si>
    <t>AMZBLR227</t>
  </si>
  <si>
    <t>AMZBLR228</t>
  </si>
  <si>
    <t>AMZBLR229</t>
  </si>
  <si>
    <t>AMZBLR230</t>
  </si>
  <si>
    <t>AMZBLR231</t>
  </si>
  <si>
    <t>AMZBLR232</t>
  </si>
  <si>
    <t>AMZBLR233</t>
  </si>
  <si>
    <t>AMZBLR234</t>
  </si>
  <si>
    <t>AMZBLR235</t>
  </si>
  <si>
    <t>AMZBLR236</t>
  </si>
  <si>
    <t>AMZBLR237</t>
  </si>
  <si>
    <t>AMZBLR238</t>
  </si>
  <si>
    <t>AMZBLR239</t>
  </si>
  <si>
    <t>AMZBLR240</t>
  </si>
  <si>
    <t>AMZBLR241</t>
  </si>
  <si>
    <t>AMZBLR242</t>
  </si>
  <si>
    <t>AMZBLR243</t>
  </si>
  <si>
    <t>AMZBLR244</t>
  </si>
  <si>
    <t>AMZBLR245</t>
  </si>
  <si>
    <t>AMZBLR246</t>
  </si>
  <si>
    <t>AMZBLR247</t>
  </si>
  <si>
    <t>AMZBLR248</t>
  </si>
  <si>
    <t>AMZBLR249</t>
  </si>
  <si>
    <t>AMZBLR250</t>
  </si>
  <si>
    <t>AMZBLR251</t>
  </si>
  <si>
    <t>AMZBLR252</t>
  </si>
  <si>
    <t>AMZBLR253</t>
  </si>
  <si>
    <t>AMZBLR254</t>
  </si>
  <si>
    <t>AMZBLR255</t>
  </si>
  <si>
    <t>AMZBLR256</t>
  </si>
  <si>
    <t>AMZBLR257</t>
  </si>
  <si>
    <t>AMZBLR258</t>
  </si>
  <si>
    <t>AMZBLR259</t>
  </si>
  <si>
    <t>AMZBLR260</t>
  </si>
  <si>
    <t>AMZBLR261</t>
  </si>
  <si>
    <t>AMZBLR262</t>
  </si>
  <si>
    <t>AMZBLR263</t>
  </si>
  <si>
    <t>AMZBLR264</t>
  </si>
  <si>
    <t>AMZBLR265</t>
  </si>
  <si>
    <t>AMZBLR266</t>
  </si>
  <si>
    <t>AMZBLR267</t>
  </si>
  <si>
    <t>AMZBLR268</t>
  </si>
  <si>
    <t>AMZBLR269</t>
  </si>
  <si>
    <t>AMZBLR270</t>
  </si>
  <si>
    <t>AMZBLR271</t>
  </si>
  <si>
    <t>AMZBLR272</t>
  </si>
  <si>
    <t>AMZBLR273</t>
  </si>
  <si>
    <t>AMZBLR274</t>
  </si>
  <si>
    <t>AMZBLR275</t>
  </si>
  <si>
    <t>AMZBLR276</t>
  </si>
  <si>
    <t>AMZBLR277</t>
  </si>
  <si>
    <t>AMZBLR278</t>
  </si>
  <si>
    <t>AMZBLR279</t>
  </si>
  <si>
    <t>AMZBLR280</t>
  </si>
  <si>
    <t>AMZBLR281</t>
  </si>
  <si>
    <t>AMZBLR282</t>
  </si>
  <si>
    <t>AMZBLR283</t>
  </si>
  <si>
    <t>AMZBLR284</t>
  </si>
  <si>
    <t>AMZBLR285</t>
  </si>
  <si>
    <t>AMZBLR286</t>
  </si>
  <si>
    <t>AMZBLR287</t>
  </si>
  <si>
    <t>AMZBLR288</t>
  </si>
  <si>
    <t>AMZBLR289</t>
  </si>
  <si>
    <t>AMZBLR290</t>
  </si>
  <si>
    <t>AMZBLR291</t>
  </si>
  <si>
    <t>AMZBLR292</t>
  </si>
  <si>
    <t>AMZBLR293</t>
  </si>
  <si>
    <t>AMZBLR294</t>
  </si>
  <si>
    <t>AMZBLR295</t>
  </si>
  <si>
    <t>AMZBLR296</t>
  </si>
  <si>
    <t>AMZBLR297</t>
  </si>
  <si>
    <t>AMZBLR298</t>
  </si>
  <si>
    <t>AMZBLR299</t>
  </si>
  <si>
    <t>AMZBLR300</t>
  </si>
  <si>
    <t>AMZBLR301</t>
  </si>
  <si>
    <t>AMZBLR302</t>
  </si>
  <si>
    <t>AMZBLR303</t>
  </si>
  <si>
    <t>AMZBLR304</t>
  </si>
  <si>
    <t>AMZBLR305</t>
  </si>
  <si>
    <t>AMZBLR306</t>
  </si>
  <si>
    <t>AMZBLR307</t>
  </si>
  <si>
    <t>AMZBLR308</t>
  </si>
  <si>
    <t>AMZBLR309</t>
  </si>
  <si>
    <t>AMZBLR310</t>
  </si>
  <si>
    <t>AMZBLR311</t>
  </si>
  <si>
    <t>AMZBLR312</t>
  </si>
  <si>
    <t>AMZBLR313</t>
  </si>
  <si>
    <t>AMZBLR314</t>
  </si>
  <si>
    <t>AMZBLR315</t>
  </si>
  <si>
    <t>AMZBLR316</t>
  </si>
  <si>
    <t>AMZBLR317</t>
  </si>
  <si>
    <t>AMZBLR318</t>
  </si>
  <si>
    <t>AMZBLR319</t>
  </si>
  <si>
    <t>AMZBLR320</t>
  </si>
  <si>
    <t>minimum</t>
  </si>
  <si>
    <t>q1</t>
  </si>
  <si>
    <t>mode</t>
  </si>
  <si>
    <t>range</t>
  </si>
  <si>
    <t>variance</t>
  </si>
  <si>
    <t>sd</t>
  </si>
  <si>
    <t>data analysis famework</t>
  </si>
  <si>
    <t>understand the problem statement</t>
  </si>
  <si>
    <t>step 2</t>
  </si>
  <si>
    <t>understand the data</t>
  </si>
  <si>
    <t>data classifacation</t>
  </si>
  <si>
    <t>store is discritive data</t>
  </si>
  <si>
    <t>step 3</t>
  </si>
  <si>
    <t>calculatre the  EDA like ( min ,max, range , q1,q2,q3, etc,…..</t>
  </si>
  <si>
    <t xml:space="preserve"> descritptive stataistics</t>
  </si>
  <si>
    <t>step 4</t>
  </si>
  <si>
    <t xml:space="preserve"> relationship stiudy </t>
  </si>
  <si>
    <t>corralation …….</t>
  </si>
  <si>
    <t>formula  = colam1,colum2 or aray1, aray2</t>
  </si>
  <si>
    <t>build the presvctive modal to estimate the performance of the  320 employes</t>
  </si>
  <si>
    <t>independ vs dependt variable</t>
  </si>
  <si>
    <t>***/iq level , ,otivation annual salary are the indepent variable</t>
  </si>
  <si>
    <t xml:space="preserve">**/perfomance is  dependt vadriable bec we care finding the performance </t>
  </si>
  <si>
    <t>kuartosis</t>
  </si>
  <si>
    <t>skewness</t>
  </si>
  <si>
    <t>it is the lowest performance out of the 320 employess</t>
  </si>
  <si>
    <t>It is frepresented the 25 percentaile of the entaire data in the range of 62-72</t>
  </si>
  <si>
    <t>It is frepresented the 50 percentaile of the entaire data in the range of 62-79</t>
  </si>
  <si>
    <t>It is frepresented the 75 percentaile of the entaire data in the range of 62-79</t>
  </si>
  <si>
    <t>It is frepresented the 100 percentaile of the entaire data in the range of 62-99</t>
  </si>
  <si>
    <t>on an average all employes performance  score is 78</t>
  </si>
  <si>
    <t>most frequency repearted value is 81</t>
  </si>
  <si>
    <t>maxminum - min( difference beyween max and min</t>
  </si>
  <si>
    <t>accepatble</t>
  </si>
  <si>
    <t>mesokuturtic</t>
  </si>
  <si>
    <t xml:space="preserve"> normal distubation (+ve)</t>
  </si>
  <si>
    <t>step 5</t>
  </si>
  <si>
    <t>predective modeling/ analysing</t>
  </si>
  <si>
    <t>regression analysis</t>
  </si>
  <si>
    <t>linear regression</t>
  </si>
  <si>
    <t>simple liner regression  y=mx+c</t>
  </si>
  <si>
    <t>multiple regression y=m1x1+m2x2+m3x3…..mnxn+c</t>
  </si>
  <si>
    <t>n is no of  indepentenrt varaiables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</si>
  <si>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</si>
  <si>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</si>
  <si>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</si>
  <si>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</si>
  <si>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</si>
  <si>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</si>
  <si>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</si>
  <si>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</si>
  <si>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</si>
  <si>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</si>
  <si>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</si>
  <si>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</si>
  <si>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</si>
  <si>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</si>
  <si>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</si>
  <si>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</si>
  <si>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</si>
  <si>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</si>
  <si>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</si>
  <si>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</si>
  <si>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</si>
  <si>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</si>
  <si>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</si>
  <si>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</si>
  <si>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over all correlation between dependent variable and all independent variables</t>
  </si>
  <si>
    <t xml:space="preserve">explained variablility. Using all the indepentent variable hoe much vairables </t>
  </si>
  <si>
    <t>multiple regressotion</t>
  </si>
  <si>
    <t>y=m1x1+m2x2+m3x3+m4x4……mnxn+c</t>
  </si>
  <si>
    <t>Y=</t>
  </si>
  <si>
    <t>m2</t>
  </si>
  <si>
    <t>m1</t>
  </si>
  <si>
    <t>x1</t>
  </si>
  <si>
    <t>x2</t>
  </si>
  <si>
    <t>m3</t>
  </si>
  <si>
    <t>x3</t>
  </si>
  <si>
    <t>c</t>
  </si>
  <si>
    <t xml:space="preserve">in is regressition </t>
  </si>
  <si>
    <t xml:space="preserve">from the coeffictents </t>
  </si>
  <si>
    <t>m3'</t>
  </si>
  <si>
    <t>intercept is  valuve "c'17.84251</t>
  </si>
  <si>
    <t>iq level is 'm1'= 0237338</t>
  </si>
  <si>
    <t>motivation is ,m2, =0.319287</t>
  </si>
  <si>
    <t>annual sales is 'm3, = 0.167862</t>
  </si>
  <si>
    <t xml:space="preserve">x1,x2,x3 this are the values in the data </t>
  </si>
  <si>
    <t>Iq level</t>
  </si>
  <si>
    <t>motation</t>
  </si>
  <si>
    <t>annual salary</t>
  </si>
  <si>
    <t>performance</t>
  </si>
  <si>
    <t>hire date</t>
  </si>
  <si>
    <t>if(E17&gt;84,"selected","rejected")</t>
  </si>
  <si>
    <t>corralation table</t>
  </si>
  <si>
    <t>note;-</t>
  </si>
  <si>
    <t xml:space="preserve">Always only one dependent future variable in any data set </t>
  </si>
  <si>
    <t>other future are  indepentend variable in the data</t>
  </si>
  <si>
    <t>employee id is numerical continuse the data ( descriptive category) bec we cant  make it  mean and median q1,q2,q3 so</t>
  </si>
  <si>
    <t xml:space="preserve">performace, iq level, motivation, annal salary is a  numerical and continues </t>
  </si>
  <si>
    <t>q2/median</t>
  </si>
  <si>
    <t>max /q4</t>
  </si>
  <si>
    <t>q3</t>
  </si>
  <si>
    <t>mean/avg</t>
  </si>
  <si>
    <t>It is frepresented the 25 percentaile of the entaire data in the range of 73-98</t>
  </si>
  <si>
    <t>It is frepresented the 50 percentaile of the entaire data in the range of 73-106</t>
  </si>
  <si>
    <t>It is frepresented the 75 percentaile of the entaire data in the range of 73-113</t>
  </si>
  <si>
    <t>It is frepresented the 100 percentaile of the entaire data in the range of 73-145</t>
  </si>
  <si>
    <t>on an average all employes performance  score is 107</t>
  </si>
  <si>
    <t>most frequency repeated value is 104</t>
  </si>
  <si>
    <t>latakutic</t>
  </si>
  <si>
    <t>just for pracic step</t>
  </si>
  <si>
    <t>correlation</t>
  </si>
  <si>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 </t>
    </r>
  </si>
  <si>
    <t xml:space="preserve">for the correlation method process, we should  click (data) </t>
  </si>
  <si>
    <t>tab on the top in excel  then the last  option  we can see the (Data analysis ) button on the screen</t>
  </si>
  <si>
    <t>click on the button  then  we see some option in those we  select  (correalation)  then click ok on right side</t>
  </si>
  <si>
    <t xml:space="preserve">now we can see the box in that is  (input range) click on the sheel </t>
  </si>
  <si>
    <t>select the rows in the data(them futers perf,iq lev,motiv,annual , in the correlation data</t>
  </si>
  <si>
    <t>(tick the box) label in the first row after that click on the output  and select the  shell in excel where we like to paste the correlation sheet(data)</t>
  </si>
  <si>
    <t>finaly  we the  down chat that is the correlation chat</t>
  </si>
  <si>
    <t>in this  correlation data  select all the numbers and convert them in percentage%</t>
  </si>
  <si>
    <r>
      <rPr>
        <b/>
        <sz val="11"/>
        <color rgb="FFFF0000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 </t>
    </r>
  </si>
  <si>
    <t xml:space="preserve">for Regression </t>
  </si>
  <si>
    <t>select data analysis  tab on the screen   next select the regression</t>
  </si>
  <si>
    <t>then the  box there in x- axis  put the   dependent variable ( performance)</t>
  </si>
  <si>
    <t>lasr click the output in that select the new sheet</t>
  </si>
  <si>
    <t>on the y-axis put the independent variable( iq level,motivation ,annul saly,select the lable option</t>
  </si>
  <si>
    <t>last we see the regression sheet on the tab sheet</t>
  </si>
  <si>
    <t>if we have more than 2 (x) variables(independent variable) we use this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</si>
</sst>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0.0"/>
    <numFmt numFmtId="172" formatCode="_ * #,##0_ ;_ * \-#,##0_ ;_ * &quot;-&quot;??_ ;_ @_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Arial Black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16" fillId="0" borderId="0" xfId="0" applyFon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" fontId="16" fillId="0" borderId="0" xfId="0" applyNumberFormat="1" applyFont="1"/>
    <xf numFmtId="0" fontId="18" fillId="0" borderId="0" xfId="0" applyFont="1"/>
    <xf numFmtId="9" fontId="0" fillId="0" borderId="0" xfId="42" applyFont="1"/>
    <xf numFmtId="0" fontId="0" fillId="0" borderId="0" xfId="0" applyFill="1" applyBorder="1" applyAlignment="1"/>
    <xf numFmtId="0" fontId="0" fillId="0" borderId="10" xfId="0" applyFill="1" applyBorder="1" applyAlignment="1"/>
    <xf numFmtId="0" fontId="19" fillId="0" borderId="11" xfId="0" applyFont="1" applyFill="1" applyBorder="1" applyAlignment="1">
      <alignment horizontal="center"/>
    </xf>
    <xf numFmtId="9" fontId="0" fillId="0" borderId="0" xfId="42" applyFont="1" applyFill="1" applyBorder="1" applyAlignment="1"/>
    <xf numFmtId="9" fontId="0" fillId="0" borderId="10" xfId="42" applyFont="1" applyFill="1" applyBorder="1" applyAlignment="1"/>
    <xf numFmtId="0" fontId="19" fillId="0" borderId="11" xfId="0" applyFont="1" applyFill="1" applyBorder="1" applyAlignment="1">
      <alignment horizontal="centerContinuous"/>
    </xf>
    <xf numFmtId="0" fontId="0" fillId="0" borderId="0" xfId="0" quotePrefix="1"/>
    <xf numFmtId="0" fontId="0" fillId="0" borderId="12" xfId="0" applyBorder="1"/>
    <xf numFmtId="0" fontId="0" fillId="0" borderId="0" xfId="0" applyAlignment="1">
      <alignment horizontal="center"/>
    </xf>
    <xf numFmtId="172" fontId="0" fillId="0" borderId="0" xfId="43" applyNumberFormat="1" applyFont="1" applyAlignment="1">
      <alignment horizontal="center"/>
    </xf>
    <xf numFmtId="0" fontId="22" fillId="33" borderId="0" xfId="0" applyFont="1" applyFill="1" applyAlignment="1">
      <alignment horizontal="center"/>
    </xf>
    <xf numFmtId="0" fontId="21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4" borderId="0" xfId="0" applyFont="1" applyFill="1" applyAlignment="1">
      <alignment horizontal="center"/>
    </xf>
    <xf numFmtId="0" fontId="16" fillId="35" borderId="0" xfId="0" applyFont="1" applyFill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1"/>
  <sheetViews>
    <sheetView topLeftCell="A6" zoomScale="116" zoomScaleNormal="150" workbookViewId="0">
      <selection activeCell="C12" sqref="C12"/>
    </sheetView>
  </sheetViews>
  <sheetFormatPr defaultRowHeight="14.25" x14ac:dyDescent="0.45"/>
  <cols>
    <col min="1" max="1" width="11.796875" bestFit="1" customWidth="1"/>
    <col min="2" max="2" width="12.1328125" bestFit="1" customWidth="1"/>
    <col min="3" max="3" width="7.86328125" bestFit="1" customWidth="1"/>
    <col min="4" max="4" width="10.53125" bestFit="1" customWidth="1"/>
    <col min="5" max="5" width="12.79687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x14ac:dyDescent="0.45">
      <c r="A2" t="s">
        <v>5</v>
      </c>
      <c r="B2">
        <v>85</v>
      </c>
      <c r="C2">
        <v>109</v>
      </c>
      <c r="D2">
        <v>89</v>
      </c>
      <c r="E2">
        <v>73</v>
      </c>
    </row>
    <row r="3" spans="1:11" x14ac:dyDescent="0.45">
      <c r="A3" t="s">
        <v>6</v>
      </c>
      <c r="B3">
        <v>84</v>
      </c>
      <c r="C3">
        <v>106</v>
      </c>
      <c r="D3">
        <v>84</v>
      </c>
      <c r="E3">
        <v>80</v>
      </c>
      <c r="G3" s="6" t="s">
        <v>331</v>
      </c>
    </row>
    <row r="4" spans="1:11" x14ac:dyDescent="0.45">
      <c r="A4" t="s">
        <v>7</v>
      </c>
      <c r="B4">
        <v>87</v>
      </c>
      <c r="C4">
        <v>125</v>
      </c>
      <c r="D4">
        <v>59</v>
      </c>
      <c r="E4">
        <v>67</v>
      </c>
      <c r="G4" t="s">
        <v>332</v>
      </c>
    </row>
    <row r="5" spans="1:11" x14ac:dyDescent="0.45">
      <c r="A5" t="s">
        <v>8</v>
      </c>
      <c r="B5">
        <v>69</v>
      </c>
      <c r="C5">
        <v>84</v>
      </c>
      <c r="D5">
        <v>60</v>
      </c>
      <c r="E5">
        <v>58</v>
      </c>
      <c r="G5" t="s">
        <v>344</v>
      </c>
    </row>
    <row r="6" spans="1:11" x14ac:dyDescent="0.45">
      <c r="A6" t="s">
        <v>9</v>
      </c>
      <c r="B6">
        <v>69</v>
      </c>
      <c r="C6">
        <v>89</v>
      </c>
      <c r="D6">
        <v>60</v>
      </c>
      <c r="E6">
        <v>67</v>
      </c>
    </row>
    <row r="7" spans="1:11" x14ac:dyDescent="0.45">
      <c r="A7" t="s">
        <v>10</v>
      </c>
      <c r="B7">
        <v>81</v>
      </c>
      <c r="C7">
        <v>109</v>
      </c>
      <c r="D7">
        <v>62</v>
      </c>
      <c r="E7">
        <v>75</v>
      </c>
    </row>
    <row r="8" spans="1:11" x14ac:dyDescent="0.45">
      <c r="A8" t="s">
        <v>11</v>
      </c>
      <c r="B8">
        <v>71</v>
      </c>
      <c r="C8">
        <v>121</v>
      </c>
      <c r="D8">
        <v>67</v>
      </c>
      <c r="E8">
        <v>55</v>
      </c>
      <c r="G8" s="1" t="s">
        <v>333</v>
      </c>
    </row>
    <row r="9" spans="1:11" x14ac:dyDescent="0.45">
      <c r="A9" t="s">
        <v>12</v>
      </c>
      <c r="B9">
        <v>76</v>
      </c>
      <c r="C9">
        <v>102</v>
      </c>
      <c r="D9">
        <v>44</v>
      </c>
      <c r="E9">
        <v>73</v>
      </c>
      <c r="G9" t="s">
        <v>334</v>
      </c>
      <c r="J9" t="s">
        <v>422</v>
      </c>
    </row>
    <row r="10" spans="1:11" x14ac:dyDescent="0.45">
      <c r="A10" t="s">
        <v>13</v>
      </c>
      <c r="B10">
        <v>77</v>
      </c>
      <c r="C10">
        <v>111</v>
      </c>
      <c r="D10">
        <v>68</v>
      </c>
      <c r="E10">
        <v>60</v>
      </c>
      <c r="G10" t="s">
        <v>335</v>
      </c>
      <c r="J10" t="s">
        <v>336</v>
      </c>
    </row>
    <row r="11" spans="1:11" x14ac:dyDescent="0.45">
      <c r="A11" t="s">
        <v>14</v>
      </c>
      <c r="B11">
        <v>76</v>
      </c>
      <c r="C11">
        <v>106</v>
      </c>
      <c r="D11">
        <v>63</v>
      </c>
      <c r="E11">
        <v>54</v>
      </c>
      <c r="G11" t="s">
        <v>345</v>
      </c>
      <c r="J11" t="s">
        <v>347</v>
      </c>
    </row>
    <row r="12" spans="1:11" x14ac:dyDescent="0.45">
      <c r="A12" t="s">
        <v>15</v>
      </c>
      <c r="B12">
        <v>90</v>
      </c>
      <c r="C12">
        <v>107</v>
      </c>
      <c r="D12">
        <v>93</v>
      </c>
      <c r="E12">
        <v>75</v>
      </c>
      <c r="G12" s="1" t="s">
        <v>337</v>
      </c>
      <c r="J12" t="s">
        <v>346</v>
      </c>
    </row>
    <row r="13" spans="1:11" x14ac:dyDescent="0.45">
      <c r="A13" t="s">
        <v>16</v>
      </c>
      <c r="B13">
        <v>74</v>
      </c>
      <c r="C13">
        <v>97</v>
      </c>
      <c r="D13">
        <v>52</v>
      </c>
      <c r="E13">
        <v>58</v>
      </c>
      <c r="G13" t="s">
        <v>338</v>
      </c>
    </row>
    <row r="14" spans="1:11" x14ac:dyDescent="0.45">
      <c r="A14" t="s">
        <v>17</v>
      </c>
      <c r="B14">
        <v>74</v>
      </c>
      <c r="C14">
        <v>133</v>
      </c>
      <c r="D14">
        <v>60</v>
      </c>
      <c r="E14">
        <v>50</v>
      </c>
      <c r="G14" t="s">
        <v>339</v>
      </c>
    </row>
    <row r="15" spans="1:11" x14ac:dyDescent="0.45">
      <c r="A15" t="s">
        <v>18</v>
      </c>
      <c r="B15">
        <v>65</v>
      </c>
      <c r="C15">
        <v>96</v>
      </c>
      <c r="D15">
        <v>52</v>
      </c>
      <c r="E15">
        <v>74</v>
      </c>
      <c r="G15" s="1" t="s">
        <v>340</v>
      </c>
      <c r="K15" t="s">
        <v>419</v>
      </c>
    </row>
    <row r="16" spans="1:11" x14ac:dyDescent="0.45">
      <c r="A16" t="s">
        <v>19</v>
      </c>
      <c r="B16">
        <v>66</v>
      </c>
      <c r="C16">
        <v>97</v>
      </c>
      <c r="D16">
        <v>65</v>
      </c>
      <c r="E16">
        <v>81</v>
      </c>
      <c r="G16" t="s">
        <v>341</v>
      </c>
      <c r="K16" t="s">
        <v>420</v>
      </c>
    </row>
    <row r="17" spans="1:11" x14ac:dyDescent="0.45">
      <c r="A17" t="s">
        <v>20</v>
      </c>
      <c r="B17">
        <v>73</v>
      </c>
      <c r="C17">
        <v>116</v>
      </c>
      <c r="D17">
        <v>62</v>
      </c>
      <c r="E17">
        <v>45</v>
      </c>
      <c r="G17" t="s">
        <v>342</v>
      </c>
      <c r="K17" t="s">
        <v>421</v>
      </c>
    </row>
    <row r="18" spans="1:11" x14ac:dyDescent="0.45">
      <c r="A18" t="s">
        <v>21</v>
      </c>
      <c r="B18">
        <v>80</v>
      </c>
      <c r="C18">
        <v>108</v>
      </c>
      <c r="D18">
        <v>74</v>
      </c>
      <c r="E18">
        <v>92</v>
      </c>
      <c r="G18" t="s">
        <v>343</v>
      </c>
    </row>
    <row r="19" spans="1:11" x14ac:dyDescent="0.45">
      <c r="A19" t="s">
        <v>22</v>
      </c>
      <c r="B19">
        <v>96</v>
      </c>
      <c r="C19">
        <v>102</v>
      </c>
      <c r="D19">
        <v>84</v>
      </c>
      <c r="E19">
        <v>84</v>
      </c>
      <c r="H19" s="7"/>
      <c r="K19" t="s">
        <v>423</v>
      </c>
    </row>
    <row r="20" spans="1:11" x14ac:dyDescent="0.45">
      <c r="A20" t="s">
        <v>23</v>
      </c>
      <c r="B20">
        <v>77</v>
      </c>
      <c r="C20">
        <v>94</v>
      </c>
      <c r="D20">
        <v>78</v>
      </c>
      <c r="E20">
        <v>79</v>
      </c>
      <c r="G20" t="s">
        <v>361</v>
      </c>
    </row>
    <row r="21" spans="1:11" x14ac:dyDescent="0.45">
      <c r="A21" t="s">
        <v>24</v>
      </c>
      <c r="B21">
        <v>73</v>
      </c>
      <c r="C21">
        <v>98</v>
      </c>
      <c r="D21">
        <v>71</v>
      </c>
      <c r="E21">
        <v>68</v>
      </c>
      <c r="G21" t="s">
        <v>362</v>
      </c>
    </row>
    <row r="22" spans="1:11" x14ac:dyDescent="0.45">
      <c r="A22" t="s">
        <v>25</v>
      </c>
      <c r="B22">
        <v>70</v>
      </c>
      <c r="C22">
        <v>87</v>
      </c>
      <c r="D22">
        <v>63</v>
      </c>
      <c r="E22">
        <v>62</v>
      </c>
      <c r="G22" t="s">
        <v>363</v>
      </c>
    </row>
    <row r="23" spans="1:11" x14ac:dyDescent="0.45">
      <c r="A23" t="s">
        <v>26</v>
      </c>
      <c r="B23">
        <v>68</v>
      </c>
      <c r="C23">
        <v>104</v>
      </c>
      <c r="D23">
        <v>57</v>
      </c>
      <c r="E23">
        <v>53</v>
      </c>
      <c r="G23" t="s">
        <v>364</v>
      </c>
    </row>
    <row r="24" spans="1:11" x14ac:dyDescent="0.45">
      <c r="A24" t="s">
        <v>27</v>
      </c>
      <c r="B24">
        <v>66</v>
      </c>
      <c r="C24">
        <v>85</v>
      </c>
      <c r="D24">
        <v>57</v>
      </c>
      <c r="E24">
        <v>51</v>
      </c>
      <c r="G24" t="s">
        <v>365</v>
      </c>
    </row>
    <row r="25" spans="1:11" x14ac:dyDescent="0.45">
      <c r="A25" t="s">
        <v>28</v>
      </c>
      <c r="B25">
        <v>86</v>
      </c>
      <c r="C25">
        <v>145</v>
      </c>
      <c r="D25">
        <v>64</v>
      </c>
      <c r="E25">
        <v>74</v>
      </c>
      <c r="G25" t="s">
        <v>366</v>
      </c>
    </row>
    <row r="26" spans="1:11" x14ac:dyDescent="0.45">
      <c r="A26" t="s">
        <v>29</v>
      </c>
      <c r="B26">
        <v>88</v>
      </c>
      <c r="C26">
        <v>105</v>
      </c>
      <c r="D26">
        <v>76</v>
      </c>
      <c r="E26">
        <v>90</v>
      </c>
      <c r="G26" t="s">
        <v>367</v>
      </c>
    </row>
    <row r="27" spans="1:11" x14ac:dyDescent="0.45">
      <c r="A27" t="s">
        <v>30</v>
      </c>
      <c r="B27">
        <v>82</v>
      </c>
      <c r="C27">
        <v>96</v>
      </c>
      <c r="D27">
        <v>71</v>
      </c>
      <c r="E27">
        <v>63</v>
      </c>
    </row>
    <row r="28" spans="1:11" x14ac:dyDescent="0.45">
      <c r="A28" t="s">
        <v>31</v>
      </c>
      <c r="B28">
        <v>85</v>
      </c>
      <c r="C28">
        <v>103</v>
      </c>
      <c r="D28">
        <v>85</v>
      </c>
      <c r="E28">
        <v>81</v>
      </c>
    </row>
    <row r="29" spans="1:11" x14ac:dyDescent="0.45">
      <c r="A29" t="s">
        <v>32</v>
      </c>
      <c r="B29">
        <v>78</v>
      </c>
      <c r="C29">
        <v>115</v>
      </c>
      <c r="D29">
        <v>56</v>
      </c>
      <c r="E29">
        <v>75</v>
      </c>
      <c r="G29" t="s">
        <v>418</v>
      </c>
    </row>
    <row r="30" spans="1:11" ht="14.65" thickBot="1" x14ac:dyDescent="0.5">
      <c r="A30" t="s">
        <v>33</v>
      </c>
      <c r="B30">
        <v>87</v>
      </c>
      <c r="C30">
        <v>135</v>
      </c>
      <c r="D30">
        <v>61</v>
      </c>
      <c r="E30">
        <v>61</v>
      </c>
    </row>
    <row r="31" spans="1:11" x14ac:dyDescent="0.45">
      <c r="A31" t="s">
        <v>34</v>
      </c>
      <c r="B31">
        <v>72</v>
      </c>
      <c r="C31">
        <v>104</v>
      </c>
      <c r="D31">
        <v>58</v>
      </c>
      <c r="E31">
        <v>53</v>
      </c>
      <c r="G31" s="10"/>
      <c r="H31" s="10" t="s">
        <v>1</v>
      </c>
      <c r="I31" s="10" t="s">
        <v>2</v>
      </c>
      <c r="J31" s="10" t="s">
        <v>3</v>
      </c>
      <c r="K31" s="10" t="s">
        <v>4</v>
      </c>
    </row>
    <row r="32" spans="1:11" x14ac:dyDescent="0.45">
      <c r="A32" t="s">
        <v>35</v>
      </c>
      <c r="B32">
        <v>87</v>
      </c>
      <c r="C32">
        <v>126</v>
      </c>
      <c r="D32">
        <v>83</v>
      </c>
      <c r="E32">
        <v>59</v>
      </c>
      <c r="G32" s="8" t="s">
        <v>1</v>
      </c>
      <c r="H32" s="11">
        <v>1</v>
      </c>
      <c r="I32" s="11"/>
      <c r="J32" s="11"/>
      <c r="K32" s="11"/>
    </row>
    <row r="33" spans="1:11" x14ac:dyDescent="0.45">
      <c r="A33" t="s">
        <v>36</v>
      </c>
      <c r="B33">
        <v>81</v>
      </c>
      <c r="C33">
        <v>121</v>
      </c>
      <c r="D33">
        <v>70</v>
      </c>
      <c r="E33">
        <v>81</v>
      </c>
      <c r="G33" s="8" t="s">
        <v>2</v>
      </c>
      <c r="H33" s="11">
        <v>0.47156291774824538</v>
      </c>
      <c r="I33" s="11">
        <v>1</v>
      </c>
      <c r="J33" s="11"/>
      <c r="K33" s="11"/>
    </row>
    <row r="34" spans="1:11" x14ac:dyDescent="0.45">
      <c r="A34" t="s">
        <v>37</v>
      </c>
      <c r="B34">
        <v>83</v>
      </c>
      <c r="C34">
        <v>106</v>
      </c>
      <c r="D34">
        <v>72</v>
      </c>
      <c r="E34">
        <v>88</v>
      </c>
      <c r="G34" s="8" t="s">
        <v>3</v>
      </c>
      <c r="H34" s="11">
        <v>0.65964647324908332</v>
      </c>
      <c r="I34" s="11">
        <v>6.7515133070431069E-2</v>
      </c>
      <c r="J34" s="11">
        <v>1</v>
      </c>
      <c r="K34" s="11"/>
    </row>
    <row r="35" spans="1:11" ht="14.65" thickBot="1" x14ac:dyDescent="0.5">
      <c r="A35" t="s">
        <v>38</v>
      </c>
      <c r="B35">
        <v>87</v>
      </c>
      <c r="C35">
        <v>107</v>
      </c>
      <c r="D35">
        <v>93</v>
      </c>
      <c r="E35">
        <v>72</v>
      </c>
      <c r="G35" s="9" t="s">
        <v>4</v>
      </c>
      <c r="H35" s="12">
        <v>0.41689131160495685</v>
      </c>
      <c r="I35" s="12">
        <v>-8.8658178220298769E-2</v>
      </c>
      <c r="J35" s="12">
        <v>0.38193430961873676</v>
      </c>
      <c r="K35" s="12">
        <v>1</v>
      </c>
    </row>
    <row r="36" spans="1:11" x14ac:dyDescent="0.45">
      <c r="A36" t="s">
        <v>39</v>
      </c>
      <c r="B36">
        <v>63</v>
      </c>
      <c r="C36">
        <v>102</v>
      </c>
      <c r="D36">
        <v>47</v>
      </c>
      <c r="E36">
        <v>64</v>
      </c>
    </row>
    <row r="37" spans="1:11" x14ac:dyDescent="0.45">
      <c r="A37" t="s">
        <v>40</v>
      </c>
      <c r="B37">
        <v>80</v>
      </c>
      <c r="C37">
        <v>85</v>
      </c>
      <c r="D37">
        <v>64</v>
      </c>
      <c r="E37">
        <v>81</v>
      </c>
    </row>
    <row r="38" spans="1:11" x14ac:dyDescent="0.45">
      <c r="A38" t="s">
        <v>41</v>
      </c>
      <c r="B38">
        <v>99</v>
      </c>
      <c r="C38">
        <v>143</v>
      </c>
      <c r="D38">
        <v>97</v>
      </c>
      <c r="E38">
        <v>79</v>
      </c>
    </row>
    <row r="39" spans="1:11" x14ac:dyDescent="0.45">
      <c r="A39" t="s">
        <v>42</v>
      </c>
      <c r="B39">
        <v>79</v>
      </c>
      <c r="C39">
        <v>110</v>
      </c>
      <c r="D39">
        <v>73</v>
      </c>
      <c r="E39">
        <v>57</v>
      </c>
    </row>
    <row r="40" spans="1:11" x14ac:dyDescent="0.45">
      <c r="A40" t="s">
        <v>43</v>
      </c>
      <c r="B40">
        <v>71</v>
      </c>
      <c r="C40">
        <v>128</v>
      </c>
      <c r="D40">
        <v>41</v>
      </c>
      <c r="E40">
        <v>48</v>
      </c>
    </row>
    <row r="41" spans="1:11" x14ac:dyDescent="0.45">
      <c r="A41" t="s">
        <v>44</v>
      </c>
      <c r="B41">
        <v>82</v>
      </c>
      <c r="C41">
        <v>104</v>
      </c>
      <c r="D41">
        <v>78</v>
      </c>
      <c r="E41">
        <v>53</v>
      </c>
    </row>
    <row r="42" spans="1:11" x14ac:dyDescent="0.45">
      <c r="A42" t="s">
        <v>45</v>
      </c>
      <c r="B42">
        <v>85</v>
      </c>
      <c r="C42">
        <v>101</v>
      </c>
      <c r="D42">
        <v>87</v>
      </c>
      <c r="E42">
        <v>65</v>
      </c>
    </row>
    <row r="43" spans="1:11" x14ac:dyDescent="0.45">
      <c r="A43" t="s">
        <v>46</v>
      </c>
      <c r="B43">
        <v>75</v>
      </c>
      <c r="C43">
        <v>94</v>
      </c>
      <c r="D43">
        <v>54</v>
      </c>
      <c r="E43">
        <v>60</v>
      </c>
    </row>
    <row r="44" spans="1:11" x14ac:dyDescent="0.45">
      <c r="A44" t="s">
        <v>47</v>
      </c>
      <c r="B44">
        <v>81</v>
      </c>
      <c r="C44">
        <v>106</v>
      </c>
      <c r="D44">
        <v>72</v>
      </c>
      <c r="E44">
        <v>55</v>
      </c>
    </row>
    <row r="45" spans="1:11" x14ac:dyDescent="0.45">
      <c r="A45" t="s">
        <v>48</v>
      </c>
      <c r="B45">
        <v>68</v>
      </c>
      <c r="C45">
        <v>102</v>
      </c>
      <c r="D45">
        <v>32</v>
      </c>
      <c r="E45">
        <v>69</v>
      </c>
    </row>
    <row r="46" spans="1:11" x14ac:dyDescent="0.45">
      <c r="A46" t="s">
        <v>49</v>
      </c>
      <c r="B46">
        <v>81</v>
      </c>
      <c r="C46">
        <v>98</v>
      </c>
      <c r="D46">
        <v>72</v>
      </c>
      <c r="E46">
        <v>69</v>
      </c>
    </row>
    <row r="47" spans="1:11" x14ac:dyDescent="0.45">
      <c r="A47" t="s">
        <v>50</v>
      </c>
      <c r="B47">
        <v>80</v>
      </c>
      <c r="C47">
        <v>112</v>
      </c>
      <c r="D47">
        <v>72</v>
      </c>
      <c r="E47">
        <v>78</v>
      </c>
    </row>
    <row r="48" spans="1:11" x14ac:dyDescent="0.45">
      <c r="A48" t="s">
        <v>51</v>
      </c>
      <c r="B48">
        <v>78</v>
      </c>
      <c r="C48">
        <v>87</v>
      </c>
      <c r="D48">
        <v>74</v>
      </c>
      <c r="E48">
        <v>93</v>
      </c>
    </row>
    <row r="49" spans="1:5" x14ac:dyDescent="0.45">
      <c r="A49" t="s">
        <v>52</v>
      </c>
      <c r="B49">
        <v>62</v>
      </c>
      <c r="C49">
        <v>73</v>
      </c>
      <c r="D49">
        <v>68</v>
      </c>
      <c r="E49">
        <v>67</v>
      </c>
    </row>
    <row r="50" spans="1:5" x14ac:dyDescent="0.45">
      <c r="A50" t="s">
        <v>53</v>
      </c>
      <c r="B50">
        <v>81</v>
      </c>
      <c r="C50">
        <v>94</v>
      </c>
      <c r="D50">
        <v>67</v>
      </c>
      <c r="E50">
        <v>59</v>
      </c>
    </row>
    <row r="51" spans="1:5" x14ac:dyDescent="0.45">
      <c r="A51" t="s">
        <v>54</v>
      </c>
      <c r="B51">
        <v>76</v>
      </c>
      <c r="C51">
        <v>117</v>
      </c>
      <c r="D51">
        <v>66</v>
      </c>
      <c r="E51">
        <v>68</v>
      </c>
    </row>
    <row r="52" spans="1:5" x14ac:dyDescent="0.45">
      <c r="A52" t="s">
        <v>55</v>
      </c>
      <c r="B52">
        <v>77</v>
      </c>
      <c r="C52">
        <v>112</v>
      </c>
      <c r="D52">
        <v>58</v>
      </c>
      <c r="E52">
        <v>57</v>
      </c>
    </row>
    <row r="53" spans="1:5" x14ac:dyDescent="0.45">
      <c r="A53" t="s">
        <v>56</v>
      </c>
      <c r="B53">
        <v>74</v>
      </c>
      <c r="C53">
        <v>113</v>
      </c>
      <c r="D53">
        <v>57</v>
      </c>
      <c r="E53">
        <v>76</v>
      </c>
    </row>
    <row r="54" spans="1:5" x14ac:dyDescent="0.45">
      <c r="A54" t="s">
        <v>57</v>
      </c>
      <c r="B54">
        <v>69</v>
      </c>
      <c r="C54">
        <v>94</v>
      </c>
      <c r="D54">
        <v>65</v>
      </c>
      <c r="E54">
        <v>53</v>
      </c>
    </row>
    <row r="55" spans="1:5" x14ac:dyDescent="0.45">
      <c r="A55" t="s">
        <v>58</v>
      </c>
      <c r="B55">
        <v>68</v>
      </c>
      <c r="C55">
        <v>119</v>
      </c>
      <c r="D55">
        <v>48</v>
      </c>
      <c r="E55">
        <v>44</v>
      </c>
    </row>
    <row r="56" spans="1:5" x14ac:dyDescent="0.45">
      <c r="A56" t="s">
        <v>59</v>
      </c>
      <c r="B56">
        <v>85</v>
      </c>
      <c r="C56">
        <v>111</v>
      </c>
      <c r="D56">
        <v>91</v>
      </c>
      <c r="E56">
        <v>59</v>
      </c>
    </row>
    <row r="57" spans="1:5" x14ac:dyDescent="0.45">
      <c r="A57" t="s">
        <v>60</v>
      </c>
      <c r="B57">
        <v>79</v>
      </c>
      <c r="C57">
        <v>104</v>
      </c>
      <c r="D57">
        <v>50</v>
      </c>
      <c r="E57">
        <v>73</v>
      </c>
    </row>
    <row r="58" spans="1:5" x14ac:dyDescent="0.45">
      <c r="A58" t="s">
        <v>61</v>
      </c>
      <c r="B58">
        <v>74</v>
      </c>
      <c r="C58">
        <v>99</v>
      </c>
      <c r="D58">
        <v>77</v>
      </c>
      <c r="E58">
        <v>83</v>
      </c>
    </row>
    <row r="59" spans="1:5" x14ac:dyDescent="0.45">
      <c r="A59" t="s">
        <v>62</v>
      </c>
      <c r="B59">
        <v>81</v>
      </c>
      <c r="C59">
        <v>104</v>
      </c>
      <c r="D59">
        <v>78</v>
      </c>
      <c r="E59">
        <v>83</v>
      </c>
    </row>
    <row r="60" spans="1:5" x14ac:dyDescent="0.45">
      <c r="A60" t="s">
        <v>63</v>
      </c>
      <c r="B60">
        <v>84</v>
      </c>
      <c r="C60">
        <v>108</v>
      </c>
      <c r="D60">
        <v>58</v>
      </c>
      <c r="E60">
        <v>64</v>
      </c>
    </row>
    <row r="61" spans="1:5" x14ac:dyDescent="0.45">
      <c r="A61" t="s">
        <v>64</v>
      </c>
      <c r="B61">
        <v>92</v>
      </c>
      <c r="C61">
        <v>130</v>
      </c>
      <c r="D61">
        <v>58</v>
      </c>
      <c r="E61">
        <v>75</v>
      </c>
    </row>
    <row r="62" spans="1:5" x14ac:dyDescent="0.45">
      <c r="A62" t="s">
        <v>65</v>
      </c>
      <c r="B62">
        <v>85</v>
      </c>
      <c r="C62">
        <v>109</v>
      </c>
      <c r="D62">
        <v>89</v>
      </c>
      <c r="E62">
        <v>73</v>
      </c>
    </row>
    <row r="63" spans="1:5" x14ac:dyDescent="0.45">
      <c r="A63" t="s">
        <v>66</v>
      </c>
      <c r="B63">
        <v>84</v>
      </c>
      <c r="C63">
        <v>106</v>
      </c>
      <c r="D63">
        <v>84</v>
      </c>
      <c r="E63">
        <v>80</v>
      </c>
    </row>
    <row r="64" spans="1:5" x14ac:dyDescent="0.45">
      <c r="A64" t="s">
        <v>67</v>
      </c>
      <c r="B64">
        <v>87</v>
      </c>
      <c r="C64">
        <v>125</v>
      </c>
      <c r="D64">
        <v>59</v>
      </c>
      <c r="E64">
        <v>67</v>
      </c>
    </row>
    <row r="65" spans="1:5" x14ac:dyDescent="0.45">
      <c r="A65" t="s">
        <v>68</v>
      </c>
      <c r="B65">
        <v>69</v>
      </c>
      <c r="C65">
        <v>84</v>
      </c>
      <c r="D65">
        <v>60</v>
      </c>
      <c r="E65">
        <v>58</v>
      </c>
    </row>
    <row r="66" spans="1:5" x14ac:dyDescent="0.45">
      <c r="A66" t="s">
        <v>69</v>
      </c>
      <c r="B66">
        <v>69</v>
      </c>
      <c r="C66">
        <v>89</v>
      </c>
      <c r="D66">
        <v>60</v>
      </c>
      <c r="E66">
        <v>67</v>
      </c>
    </row>
    <row r="67" spans="1:5" x14ac:dyDescent="0.45">
      <c r="A67" t="s">
        <v>70</v>
      </c>
      <c r="B67">
        <v>81</v>
      </c>
      <c r="C67">
        <v>109</v>
      </c>
      <c r="D67">
        <v>62</v>
      </c>
      <c r="E67">
        <v>75</v>
      </c>
    </row>
    <row r="68" spans="1:5" x14ac:dyDescent="0.45">
      <c r="A68" t="s">
        <v>71</v>
      </c>
      <c r="B68">
        <v>71</v>
      </c>
      <c r="C68">
        <v>121</v>
      </c>
      <c r="D68">
        <v>67</v>
      </c>
      <c r="E68">
        <v>55</v>
      </c>
    </row>
    <row r="69" spans="1:5" x14ac:dyDescent="0.45">
      <c r="A69" t="s">
        <v>72</v>
      </c>
      <c r="B69">
        <v>76</v>
      </c>
      <c r="C69">
        <v>102</v>
      </c>
      <c r="D69">
        <v>44</v>
      </c>
      <c r="E69">
        <v>73</v>
      </c>
    </row>
    <row r="70" spans="1:5" x14ac:dyDescent="0.45">
      <c r="A70" t="s">
        <v>73</v>
      </c>
      <c r="B70">
        <v>77</v>
      </c>
      <c r="C70">
        <v>111</v>
      </c>
      <c r="D70">
        <v>68</v>
      </c>
      <c r="E70">
        <v>60</v>
      </c>
    </row>
    <row r="71" spans="1:5" x14ac:dyDescent="0.45">
      <c r="A71" t="s">
        <v>74</v>
      </c>
      <c r="B71">
        <v>76</v>
      </c>
      <c r="C71">
        <v>106</v>
      </c>
      <c r="D71">
        <v>63</v>
      </c>
      <c r="E71">
        <v>54</v>
      </c>
    </row>
    <row r="72" spans="1:5" x14ac:dyDescent="0.45">
      <c r="A72" t="s">
        <v>75</v>
      </c>
      <c r="B72">
        <v>90</v>
      </c>
      <c r="C72">
        <v>107</v>
      </c>
      <c r="D72">
        <v>93</v>
      </c>
      <c r="E72">
        <v>75</v>
      </c>
    </row>
    <row r="73" spans="1:5" x14ac:dyDescent="0.45">
      <c r="A73" t="s">
        <v>76</v>
      </c>
      <c r="B73">
        <v>74</v>
      </c>
      <c r="C73">
        <v>97</v>
      </c>
      <c r="D73">
        <v>52</v>
      </c>
      <c r="E73">
        <v>58</v>
      </c>
    </row>
    <row r="74" spans="1:5" x14ac:dyDescent="0.45">
      <c r="A74" t="s">
        <v>77</v>
      </c>
      <c r="B74">
        <v>74</v>
      </c>
      <c r="C74">
        <v>133</v>
      </c>
      <c r="D74">
        <v>60</v>
      </c>
      <c r="E74">
        <v>50</v>
      </c>
    </row>
    <row r="75" spans="1:5" x14ac:dyDescent="0.45">
      <c r="A75" t="s">
        <v>78</v>
      </c>
      <c r="B75">
        <v>65</v>
      </c>
      <c r="C75">
        <v>96</v>
      </c>
      <c r="D75">
        <v>52</v>
      </c>
      <c r="E75">
        <v>74</v>
      </c>
    </row>
    <row r="76" spans="1:5" x14ac:dyDescent="0.45">
      <c r="A76" t="s">
        <v>79</v>
      </c>
      <c r="B76">
        <v>66</v>
      </c>
      <c r="C76">
        <v>97</v>
      </c>
      <c r="D76">
        <v>65</v>
      </c>
      <c r="E76">
        <v>81</v>
      </c>
    </row>
    <row r="77" spans="1:5" x14ac:dyDescent="0.45">
      <c r="A77" t="s">
        <v>80</v>
      </c>
      <c r="B77">
        <v>73</v>
      </c>
      <c r="C77">
        <v>116</v>
      </c>
      <c r="D77">
        <v>62</v>
      </c>
      <c r="E77">
        <v>45</v>
      </c>
    </row>
    <row r="78" spans="1:5" x14ac:dyDescent="0.45">
      <c r="A78" t="s">
        <v>81</v>
      </c>
      <c r="B78">
        <v>80</v>
      </c>
      <c r="C78">
        <v>108</v>
      </c>
      <c r="D78">
        <v>74</v>
      </c>
      <c r="E78">
        <v>92</v>
      </c>
    </row>
    <row r="79" spans="1:5" x14ac:dyDescent="0.45">
      <c r="A79" t="s">
        <v>82</v>
      </c>
      <c r="B79">
        <v>96</v>
      </c>
      <c r="C79">
        <v>102</v>
      </c>
      <c r="D79">
        <v>84</v>
      </c>
      <c r="E79">
        <v>84</v>
      </c>
    </row>
    <row r="80" spans="1:5" x14ac:dyDescent="0.45">
      <c r="A80" t="s">
        <v>83</v>
      </c>
      <c r="B80">
        <v>77</v>
      </c>
      <c r="C80">
        <v>94</v>
      </c>
      <c r="D80">
        <v>78</v>
      </c>
      <c r="E80">
        <v>79</v>
      </c>
    </row>
    <row r="81" spans="1:5" x14ac:dyDescent="0.45">
      <c r="A81" t="s">
        <v>84</v>
      </c>
      <c r="B81">
        <v>73</v>
      </c>
      <c r="C81">
        <v>98</v>
      </c>
      <c r="D81">
        <v>71</v>
      </c>
      <c r="E81">
        <v>68</v>
      </c>
    </row>
    <row r="82" spans="1:5" x14ac:dyDescent="0.45">
      <c r="A82" t="s">
        <v>85</v>
      </c>
      <c r="B82">
        <v>70</v>
      </c>
      <c r="C82">
        <v>87</v>
      </c>
      <c r="D82">
        <v>63</v>
      </c>
      <c r="E82">
        <v>62</v>
      </c>
    </row>
    <row r="83" spans="1:5" x14ac:dyDescent="0.45">
      <c r="A83" t="s">
        <v>86</v>
      </c>
      <c r="B83">
        <v>68</v>
      </c>
      <c r="C83">
        <v>104</v>
      </c>
      <c r="D83">
        <v>57</v>
      </c>
      <c r="E83">
        <v>53</v>
      </c>
    </row>
    <row r="84" spans="1:5" x14ac:dyDescent="0.45">
      <c r="A84" t="s">
        <v>87</v>
      </c>
      <c r="B84">
        <v>66</v>
      </c>
      <c r="C84">
        <v>85</v>
      </c>
      <c r="D84">
        <v>57</v>
      </c>
      <c r="E84">
        <v>51</v>
      </c>
    </row>
    <row r="85" spans="1:5" x14ac:dyDescent="0.45">
      <c r="A85" t="s">
        <v>88</v>
      </c>
      <c r="B85">
        <v>86</v>
      </c>
      <c r="C85">
        <v>145</v>
      </c>
      <c r="D85">
        <v>64</v>
      </c>
      <c r="E85">
        <v>74</v>
      </c>
    </row>
    <row r="86" spans="1:5" x14ac:dyDescent="0.45">
      <c r="A86" t="s">
        <v>89</v>
      </c>
      <c r="B86">
        <v>88</v>
      </c>
      <c r="C86">
        <v>105</v>
      </c>
      <c r="D86">
        <v>76</v>
      </c>
      <c r="E86">
        <v>90</v>
      </c>
    </row>
    <row r="87" spans="1:5" x14ac:dyDescent="0.45">
      <c r="A87" t="s">
        <v>90</v>
      </c>
      <c r="B87">
        <v>82</v>
      </c>
      <c r="C87">
        <v>96</v>
      </c>
      <c r="D87">
        <v>71</v>
      </c>
      <c r="E87">
        <v>63</v>
      </c>
    </row>
    <row r="88" spans="1:5" x14ac:dyDescent="0.45">
      <c r="A88" t="s">
        <v>91</v>
      </c>
      <c r="B88">
        <v>85</v>
      </c>
      <c r="C88">
        <v>103</v>
      </c>
      <c r="D88">
        <v>85</v>
      </c>
      <c r="E88">
        <v>81</v>
      </c>
    </row>
    <row r="89" spans="1:5" x14ac:dyDescent="0.45">
      <c r="A89" t="s">
        <v>92</v>
      </c>
      <c r="B89">
        <v>78</v>
      </c>
      <c r="C89">
        <v>115</v>
      </c>
      <c r="D89">
        <v>56</v>
      </c>
      <c r="E89">
        <v>75</v>
      </c>
    </row>
    <row r="90" spans="1:5" x14ac:dyDescent="0.45">
      <c r="A90" t="s">
        <v>93</v>
      </c>
      <c r="B90">
        <v>87</v>
      </c>
      <c r="C90">
        <v>135</v>
      </c>
      <c r="D90">
        <v>61</v>
      </c>
      <c r="E90">
        <v>61</v>
      </c>
    </row>
    <row r="91" spans="1:5" x14ac:dyDescent="0.45">
      <c r="A91" t="s">
        <v>94</v>
      </c>
      <c r="B91">
        <v>72</v>
      </c>
      <c r="C91">
        <v>104</v>
      </c>
      <c r="D91">
        <v>58</v>
      </c>
      <c r="E91">
        <v>53</v>
      </c>
    </row>
    <row r="92" spans="1:5" x14ac:dyDescent="0.45">
      <c r="A92" t="s">
        <v>95</v>
      </c>
      <c r="B92">
        <v>87</v>
      </c>
      <c r="C92">
        <v>126</v>
      </c>
      <c r="D92">
        <v>83</v>
      </c>
      <c r="E92">
        <v>59</v>
      </c>
    </row>
    <row r="93" spans="1:5" x14ac:dyDescent="0.45">
      <c r="A93" t="s">
        <v>96</v>
      </c>
      <c r="B93">
        <v>81</v>
      </c>
      <c r="C93">
        <v>121</v>
      </c>
      <c r="D93">
        <v>70</v>
      </c>
      <c r="E93">
        <v>81</v>
      </c>
    </row>
    <row r="94" spans="1:5" x14ac:dyDescent="0.45">
      <c r="A94" t="s">
        <v>97</v>
      </c>
      <c r="B94">
        <v>83</v>
      </c>
      <c r="C94">
        <v>106</v>
      </c>
      <c r="D94">
        <v>72</v>
      </c>
      <c r="E94">
        <v>88</v>
      </c>
    </row>
    <row r="95" spans="1:5" x14ac:dyDescent="0.45">
      <c r="A95" t="s">
        <v>98</v>
      </c>
      <c r="B95">
        <v>87</v>
      </c>
      <c r="C95">
        <v>107</v>
      </c>
      <c r="D95">
        <v>93</v>
      </c>
      <c r="E95">
        <v>72</v>
      </c>
    </row>
    <row r="96" spans="1:5" x14ac:dyDescent="0.45">
      <c r="A96" t="s">
        <v>99</v>
      </c>
      <c r="B96">
        <v>63</v>
      </c>
      <c r="C96">
        <v>102</v>
      </c>
      <c r="D96">
        <v>47</v>
      </c>
      <c r="E96">
        <v>64</v>
      </c>
    </row>
    <row r="97" spans="1:5" x14ac:dyDescent="0.45">
      <c r="A97" t="s">
        <v>100</v>
      </c>
      <c r="B97">
        <v>80</v>
      </c>
      <c r="C97">
        <v>85</v>
      </c>
      <c r="D97">
        <v>64</v>
      </c>
      <c r="E97">
        <v>81</v>
      </c>
    </row>
    <row r="98" spans="1:5" x14ac:dyDescent="0.45">
      <c r="A98" t="s">
        <v>101</v>
      </c>
      <c r="B98">
        <v>99</v>
      </c>
      <c r="C98">
        <v>143</v>
      </c>
      <c r="D98">
        <v>97</v>
      </c>
      <c r="E98">
        <v>79</v>
      </c>
    </row>
    <row r="99" spans="1:5" x14ac:dyDescent="0.45">
      <c r="A99" t="s">
        <v>102</v>
      </c>
      <c r="B99">
        <v>79</v>
      </c>
      <c r="C99">
        <v>110</v>
      </c>
      <c r="D99">
        <v>73</v>
      </c>
      <c r="E99">
        <v>57</v>
      </c>
    </row>
    <row r="100" spans="1:5" x14ac:dyDescent="0.45">
      <c r="A100" t="s">
        <v>103</v>
      </c>
      <c r="B100">
        <v>71</v>
      </c>
      <c r="C100">
        <v>128</v>
      </c>
      <c r="D100">
        <v>41</v>
      </c>
      <c r="E100">
        <v>48</v>
      </c>
    </row>
    <row r="101" spans="1:5" x14ac:dyDescent="0.45">
      <c r="A101" t="s">
        <v>104</v>
      </c>
      <c r="B101">
        <v>82</v>
      </c>
      <c r="C101">
        <v>104</v>
      </c>
      <c r="D101">
        <v>78</v>
      </c>
      <c r="E101">
        <v>53</v>
      </c>
    </row>
    <row r="102" spans="1:5" x14ac:dyDescent="0.45">
      <c r="A102" t="s">
        <v>105</v>
      </c>
      <c r="B102">
        <v>85</v>
      </c>
      <c r="C102">
        <v>101</v>
      </c>
      <c r="D102">
        <v>87</v>
      </c>
      <c r="E102">
        <v>65</v>
      </c>
    </row>
    <row r="103" spans="1:5" x14ac:dyDescent="0.45">
      <c r="A103" t="s">
        <v>106</v>
      </c>
      <c r="B103">
        <v>75</v>
      </c>
      <c r="C103">
        <v>94</v>
      </c>
      <c r="D103">
        <v>54</v>
      </c>
      <c r="E103">
        <v>60</v>
      </c>
    </row>
    <row r="104" spans="1:5" x14ac:dyDescent="0.45">
      <c r="A104" t="s">
        <v>107</v>
      </c>
      <c r="B104">
        <v>81</v>
      </c>
      <c r="C104">
        <v>106</v>
      </c>
      <c r="D104">
        <v>72</v>
      </c>
      <c r="E104">
        <v>55</v>
      </c>
    </row>
    <row r="105" spans="1:5" x14ac:dyDescent="0.45">
      <c r="A105" t="s">
        <v>108</v>
      </c>
      <c r="B105">
        <v>68</v>
      </c>
      <c r="C105">
        <v>102</v>
      </c>
      <c r="D105">
        <v>32</v>
      </c>
      <c r="E105">
        <v>69</v>
      </c>
    </row>
    <row r="106" spans="1:5" x14ac:dyDescent="0.45">
      <c r="A106" t="s">
        <v>109</v>
      </c>
      <c r="B106">
        <v>81</v>
      </c>
      <c r="C106">
        <v>98</v>
      </c>
      <c r="D106">
        <v>72</v>
      </c>
      <c r="E106">
        <v>69</v>
      </c>
    </row>
    <row r="107" spans="1:5" x14ac:dyDescent="0.45">
      <c r="A107" t="s">
        <v>110</v>
      </c>
      <c r="B107">
        <v>80</v>
      </c>
      <c r="C107">
        <v>112</v>
      </c>
      <c r="D107">
        <v>72</v>
      </c>
      <c r="E107">
        <v>78</v>
      </c>
    </row>
    <row r="108" spans="1:5" x14ac:dyDescent="0.45">
      <c r="A108" t="s">
        <v>111</v>
      </c>
      <c r="B108">
        <v>78</v>
      </c>
      <c r="C108">
        <v>87</v>
      </c>
      <c r="D108">
        <v>74</v>
      </c>
      <c r="E108">
        <v>93</v>
      </c>
    </row>
    <row r="109" spans="1:5" x14ac:dyDescent="0.45">
      <c r="A109" t="s">
        <v>112</v>
      </c>
      <c r="B109">
        <v>62</v>
      </c>
      <c r="C109">
        <v>73</v>
      </c>
      <c r="D109">
        <v>68</v>
      </c>
      <c r="E109">
        <v>67</v>
      </c>
    </row>
    <row r="110" spans="1:5" x14ac:dyDescent="0.45">
      <c r="A110" t="s">
        <v>113</v>
      </c>
      <c r="B110">
        <v>81</v>
      </c>
      <c r="C110">
        <v>94</v>
      </c>
      <c r="D110">
        <v>67</v>
      </c>
      <c r="E110">
        <v>59</v>
      </c>
    </row>
    <row r="111" spans="1:5" x14ac:dyDescent="0.45">
      <c r="A111" t="s">
        <v>114</v>
      </c>
      <c r="B111">
        <v>76</v>
      </c>
      <c r="C111">
        <v>117</v>
      </c>
      <c r="D111">
        <v>66</v>
      </c>
      <c r="E111">
        <v>68</v>
      </c>
    </row>
    <row r="112" spans="1:5" x14ac:dyDescent="0.45">
      <c r="A112" t="s">
        <v>115</v>
      </c>
      <c r="B112">
        <v>77</v>
      </c>
      <c r="C112">
        <v>112</v>
      </c>
      <c r="D112">
        <v>58</v>
      </c>
      <c r="E112">
        <v>57</v>
      </c>
    </row>
    <row r="113" spans="1:5" x14ac:dyDescent="0.45">
      <c r="A113" t="s">
        <v>116</v>
      </c>
      <c r="B113">
        <v>74</v>
      </c>
      <c r="C113">
        <v>113</v>
      </c>
      <c r="D113">
        <v>57</v>
      </c>
      <c r="E113">
        <v>76</v>
      </c>
    </row>
    <row r="114" spans="1:5" x14ac:dyDescent="0.45">
      <c r="A114" t="s">
        <v>117</v>
      </c>
      <c r="B114">
        <v>69</v>
      </c>
      <c r="C114">
        <v>94</v>
      </c>
      <c r="D114">
        <v>65</v>
      </c>
      <c r="E114">
        <v>53</v>
      </c>
    </row>
    <row r="115" spans="1:5" x14ac:dyDescent="0.45">
      <c r="A115" t="s">
        <v>118</v>
      </c>
      <c r="B115">
        <v>68</v>
      </c>
      <c r="C115">
        <v>119</v>
      </c>
      <c r="D115">
        <v>48</v>
      </c>
      <c r="E115">
        <v>44</v>
      </c>
    </row>
    <row r="116" spans="1:5" x14ac:dyDescent="0.45">
      <c r="A116" t="s">
        <v>119</v>
      </c>
      <c r="B116">
        <v>85</v>
      </c>
      <c r="C116">
        <v>111</v>
      </c>
      <c r="D116">
        <v>91</v>
      </c>
      <c r="E116">
        <v>59</v>
      </c>
    </row>
    <row r="117" spans="1:5" x14ac:dyDescent="0.45">
      <c r="A117" t="s">
        <v>120</v>
      </c>
      <c r="B117">
        <v>79</v>
      </c>
      <c r="C117">
        <v>104</v>
      </c>
      <c r="D117">
        <v>50</v>
      </c>
      <c r="E117">
        <v>73</v>
      </c>
    </row>
    <row r="118" spans="1:5" x14ac:dyDescent="0.45">
      <c r="A118" t="s">
        <v>121</v>
      </c>
      <c r="B118">
        <v>74</v>
      </c>
      <c r="C118">
        <v>99</v>
      </c>
      <c r="D118">
        <v>77</v>
      </c>
      <c r="E118">
        <v>83</v>
      </c>
    </row>
    <row r="119" spans="1:5" x14ac:dyDescent="0.45">
      <c r="A119" t="s">
        <v>122</v>
      </c>
      <c r="B119">
        <v>81</v>
      </c>
      <c r="C119">
        <v>104</v>
      </c>
      <c r="D119">
        <v>78</v>
      </c>
      <c r="E119">
        <v>83</v>
      </c>
    </row>
    <row r="120" spans="1:5" x14ac:dyDescent="0.45">
      <c r="A120" t="s">
        <v>123</v>
      </c>
      <c r="B120">
        <v>84</v>
      </c>
      <c r="C120">
        <v>108</v>
      </c>
      <c r="D120">
        <v>58</v>
      </c>
      <c r="E120">
        <v>64</v>
      </c>
    </row>
    <row r="121" spans="1:5" x14ac:dyDescent="0.45">
      <c r="A121" t="s">
        <v>124</v>
      </c>
      <c r="B121">
        <v>92</v>
      </c>
      <c r="C121">
        <v>130</v>
      </c>
      <c r="D121">
        <v>58</v>
      </c>
      <c r="E121">
        <v>75</v>
      </c>
    </row>
    <row r="122" spans="1:5" x14ac:dyDescent="0.45">
      <c r="A122" t="s">
        <v>125</v>
      </c>
      <c r="B122">
        <v>85</v>
      </c>
      <c r="C122">
        <v>109</v>
      </c>
      <c r="D122">
        <v>89</v>
      </c>
      <c r="E122">
        <v>73</v>
      </c>
    </row>
    <row r="123" spans="1:5" x14ac:dyDescent="0.45">
      <c r="A123" t="s">
        <v>126</v>
      </c>
      <c r="B123">
        <v>84</v>
      </c>
      <c r="C123">
        <v>106</v>
      </c>
      <c r="D123">
        <v>84</v>
      </c>
      <c r="E123">
        <v>80</v>
      </c>
    </row>
    <row r="124" spans="1:5" x14ac:dyDescent="0.45">
      <c r="A124" t="s">
        <v>127</v>
      </c>
      <c r="B124">
        <v>87</v>
      </c>
      <c r="C124">
        <v>125</v>
      </c>
      <c r="D124">
        <v>59</v>
      </c>
      <c r="E124">
        <v>67</v>
      </c>
    </row>
    <row r="125" spans="1:5" x14ac:dyDescent="0.45">
      <c r="A125" t="s">
        <v>128</v>
      </c>
      <c r="B125">
        <v>69</v>
      </c>
      <c r="C125">
        <v>84</v>
      </c>
      <c r="D125">
        <v>60</v>
      </c>
      <c r="E125">
        <v>58</v>
      </c>
    </row>
    <row r="126" spans="1:5" x14ac:dyDescent="0.45">
      <c r="A126" t="s">
        <v>129</v>
      </c>
      <c r="B126">
        <v>69</v>
      </c>
      <c r="C126">
        <v>89</v>
      </c>
      <c r="D126">
        <v>60</v>
      </c>
      <c r="E126">
        <v>67</v>
      </c>
    </row>
    <row r="127" spans="1:5" x14ac:dyDescent="0.45">
      <c r="A127" t="s">
        <v>130</v>
      </c>
      <c r="B127">
        <v>81</v>
      </c>
      <c r="C127">
        <v>109</v>
      </c>
      <c r="D127">
        <v>62</v>
      </c>
      <c r="E127">
        <v>75</v>
      </c>
    </row>
    <row r="128" spans="1:5" x14ac:dyDescent="0.45">
      <c r="A128" t="s">
        <v>131</v>
      </c>
      <c r="B128">
        <v>71</v>
      </c>
      <c r="C128">
        <v>121</v>
      </c>
      <c r="D128">
        <v>67</v>
      </c>
      <c r="E128">
        <v>55</v>
      </c>
    </row>
    <row r="129" spans="1:5" x14ac:dyDescent="0.45">
      <c r="A129" t="s">
        <v>132</v>
      </c>
      <c r="B129">
        <v>76</v>
      </c>
      <c r="C129">
        <v>102</v>
      </c>
      <c r="D129">
        <v>44</v>
      </c>
      <c r="E129">
        <v>73</v>
      </c>
    </row>
    <row r="130" spans="1:5" x14ac:dyDescent="0.45">
      <c r="A130" t="s">
        <v>133</v>
      </c>
      <c r="B130">
        <v>77</v>
      </c>
      <c r="C130">
        <v>111</v>
      </c>
      <c r="D130">
        <v>68</v>
      </c>
      <c r="E130">
        <v>60</v>
      </c>
    </row>
    <row r="131" spans="1:5" x14ac:dyDescent="0.45">
      <c r="A131" t="s">
        <v>134</v>
      </c>
      <c r="B131">
        <v>76</v>
      </c>
      <c r="C131">
        <v>106</v>
      </c>
      <c r="D131">
        <v>63</v>
      </c>
      <c r="E131">
        <v>54</v>
      </c>
    </row>
    <row r="132" spans="1:5" x14ac:dyDescent="0.45">
      <c r="A132" t="s">
        <v>135</v>
      </c>
      <c r="B132">
        <v>90</v>
      </c>
      <c r="C132">
        <v>107</v>
      </c>
      <c r="D132">
        <v>93</v>
      </c>
      <c r="E132">
        <v>75</v>
      </c>
    </row>
    <row r="133" spans="1:5" x14ac:dyDescent="0.45">
      <c r="A133" t="s">
        <v>136</v>
      </c>
      <c r="B133">
        <v>74</v>
      </c>
      <c r="C133">
        <v>97</v>
      </c>
      <c r="D133">
        <v>52</v>
      </c>
      <c r="E133">
        <v>58</v>
      </c>
    </row>
    <row r="134" spans="1:5" x14ac:dyDescent="0.45">
      <c r="A134" t="s">
        <v>137</v>
      </c>
      <c r="B134">
        <v>74</v>
      </c>
      <c r="C134">
        <v>133</v>
      </c>
      <c r="D134">
        <v>60</v>
      </c>
      <c r="E134">
        <v>50</v>
      </c>
    </row>
    <row r="135" spans="1:5" x14ac:dyDescent="0.45">
      <c r="A135" t="s">
        <v>138</v>
      </c>
      <c r="B135">
        <v>65</v>
      </c>
      <c r="C135">
        <v>96</v>
      </c>
      <c r="D135">
        <v>52</v>
      </c>
      <c r="E135">
        <v>74</v>
      </c>
    </row>
    <row r="136" spans="1:5" x14ac:dyDescent="0.45">
      <c r="A136" t="s">
        <v>139</v>
      </c>
      <c r="B136">
        <v>66</v>
      </c>
      <c r="C136">
        <v>97</v>
      </c>
      <c r="D136">
        <v>65</v>
      </c>
      <c r="E136">
        <v>81</v>
      </c>
    </row>
    <row r="137" spans="1:5" x14ac:dyDescent="0.45">
      <c r="A137" t="s">
        <v>140</v>
      </c>
      <c r="B137">
        <v>73</v>
      </c>
      <c r="C137">
        <v>116</v>
      </c>
      <c r="D137">
        <v>62</v>
      </c>
      <c r="E137">
        <v>45</v>
      </c>
    </row>
    <row r="138" spans="1:5" x14ac:dyDescent="0.45">
      <c r="A138" t="s">
        <v>141</v>
      </c>
      <c r="B138">
        <v>80</v>
      </c>
      <c r="C138">
        <v>108</v>
      </c>
      <c r="D138">
        <v>74</v>
      </c>
      <c r="E138">
        <v>92</v>
      </c>
    </row>
    <row r="139" spans="1:5" x14ac:dyDescent="0.45">
      <c r="A139" t="s">
        <v>142</v>
      </c>
      <c r="B139">
        <v>96</v>
      </c>
      <c r="C139">
        <v>102</v>
      </c>
      <c r="D139">
        <v>84</v>
      </c>
      <c r="E139">
        <v>84</v>
      </c>
    </row>
    <row r="140" spans="1:5" x14ac:dyDescent="0.45">
      <c r="A140" t="s">
        <v>143</v>
      </c>
      <c r="B140">
        <v>77</v>
      </c>
      <c r="C140">
        <v>94</v>
      </c>
      <c r="D140">
        <v>78</v>
      </c>
      <c r="E140">
        <v>79</v>
      </c>
    </row>
    <row r="141" spans="1:5" x14ac:dyDescent="0.45">
      <c r="A141" t="s">
        <v>144</v>
      </c>
      <c r="B141">
        <v>73</v>
      </c>
      <c r="C141">
        <v>98</v>
      </c>
      <c r="D141">
        <v>71</v>
      </c>
      <c r="E141">
        <v>68</v>
      </c>
    </row>
    <row r="142" spans="1:5" x14ac:dyDescent="0.45">
      <c r="A142" t="s">
        <v>145</v>
      </c>
      <c r="B142">
        <v>70</v>
      </c>
      <c r="C142">
        <v>87</v>
      </c>
      <c r="D142">
        <v>63</v>
      </c>
      <c r="E142">
        <v>62</v>
      </c>
    </row>
    <row r="143" spans="1:5" x14ac:dyDescent="0.45">
      <c r="A143" t="s">
        <v>146</v>
      </c>
      <c r="B143">
        <v>68</v>
      </c>
      <c r="C143">
        <v>104</v>
      </c>
      <c r="D143">
        <v>57</v>
      </c>
      <c r="E143">
        <v>53</v>
      </c>
    </row>
    <row r="144" spans="1:5" x14ac:dyDescent="0.45">
      <c r="A144" t="s">
        <v>147</v>
      </c>
      <c r="B144">
        <v>66</v>
      </c>
      <c r="C144">
        <v>85</v>
      </c>
      <c r="D144">
        <v>57</v>
      </c>
      <c r="E144">
        <v>51</v>
      </c>
    </row>
    <row r="145" spans="1:5" x14ac:dyDescent="0.45">
      <c r="A145" t="s">
        <v>148</v>
      </c>
      <c r="B145">
        <v>86</v>
      </c>
      <c r="C145">
        <v>145</v>
      </c>
      <c r="D145">
        <v>64</v>
      </c>
      <c r="E145">
        <v>74</v>
      </c>
    </row>
    <row r="146" spans="1:5" x14ac:dyDescent="0.45">
      <c r="A146" t="s">
        <v>149</v>
      </c>
      <c r="B146">
        <v>88</v>
      </c>
      <c r="C146">
        <v>105</v>
      </c>
      <c r="D146">
        <v>76</v>
      </c>
      <c r="E146">
        <v>90</v>
      </c>
    </row>
    <row r="147" spans="1:5" x14ac:dyDescent="0.45">
      <c r="A147" t="s">
        <v>150</v>
      </c>
      <c r="B147">
        <v>82</v>
      </c>
      <c r="C147">
        <v>96</v>
      </c>
      <c r="D147">
        <v>71</v>
      </c>
      <c r="E147">
        <v>63</v>
      </c>
    </row>
    <row r="148" spans="1:5" x14ac:dyDescent="0.45">
      <c r="A148" t="s">
        <v>151</v>
      </c>
      <c r="B148">
        <v>85</v>
      </c>
      <c r="C148">
        <v>103</v>
      </c>
      <c r="D148">
        <v>85</v>
      </c>
      <c r="E148">
        <v>81</v>
      </c>
    </row>
    <row r="149" spans="1:5" x14ac:dyDescent="0.45">
      <c r="A149" t="s">
        <v>152</v>
      </c>
      <c r="B149">
        <v>78</v>
      </c>
      <c r="C149">
        <v>115</v>
      </c>
      <c r="D149">
        <v>56</v>
      </c>
      <c r="E149">
        <v>75</v>
      </c>
    </row>
    <row r="150" spans="1:5" x14ac:dyDescent="0.45">
      <c r="A150" t="s">
        <v>153</v>
      </c>
      <c r="B150">
        <v>87</v>
      </c>
      <c r="C150">
        <v>135</v>
      </c>
      <c r="D150">
        <v>61</v>
      </c>
      <c r="E150">
        <v>61</v>
      </c>
    </row>
    <row r="151" spans="1:5" x14ac:dyDescent="0.45">
      <c r="A151" t="s">
        <v>154</v>
      </c>
      <c r="B151">
        <v>72</v>
      </c>
      <c r="C151">
        <v>104</v>
      </c>
      <c r="D151">
        <v>58</v>
      </c>
      <c r="E151">
        <v>53</v>
      </c>
    </row>
    <row r="152" spans="1:5" x14ac:dyDescent="0.45">
      <c r="A152" t="s">
        <v>155</v>
      </c>
      <c r="B152">
        <v>87</v>
      </c>
      <c r="C152">
        <v>126</v>
      </c>
      <c r="D152">
        <v>83</v>
      </c>
      <c r="E152">
        <v>59</v>
      </c>
    </row>
    <row r="153" spans="1:5" x14ac:dyDescent="0.45">
      <c r="A153" t="s">
        <v>156</v>
      </c>
      <c r="B153">
        <v>81</v>
      </c>
      <c r="C153">
        <v>121</v>
      </c>
      <c r="D153">
        <v>70</v>
      </c>
      <c r="E153">
        <v>81</v>
      </c>
    </row>
    <row r="154" spans="1:5" x14ac:dyDescent="0.45">
      <c r="A154" t="s">
        <v>157</v>
      </c>
      <c r="B154">
        <v>83</v>
      </c>
      <c r="C154">
        <v>106</v>
      </c>
      <c r="D154">
        <v>72</v>
      </c>
      <c r="E154">
        <v>88</v>
      </c>
    </row>
    <row r="155" spans="1:5" x14ac:dyDescent="0.45">
      <c r="A155" t="s">
        <v>158</v>
      </c>
      <c r="B155">
        <v>87</v>
      </c>
      <c r="C155">
        <v>107</v>
      </c>
      <c r="D155">
        <v>93</v>
      </c>
      <c r="E155">
        <v>72</v>
      </c>
    </row>
    <row r="156" spans="1:5" x14ac:dyDescent="0.45">
      <c r="A156" t="s">
        <v>159</v>
      </c>
      <c r="B156">
        <v>63</v>
      </c>
      <c r="C156">
        <v>102</v>
      </c>
      <c r="D156">
        <v>47</v>
      </c>
      <c r="E156">
        <v>64</v>
      </c>
    </row>
    <row r="157" spans="1:5" x14ac:dyDescent="0.45">
      <c r="A157" t="s">
        <v>160</v>
      </c>
      <c r="B157">
        <v>80</v>
      </c>
      <c r="C157">
        <v>85</v>
      </c>
      <c r="D157">
        <v>64</v>
      </c>
      <c r="E157">
        <v>81</v>
      </c>
    </row>
    <row r="158" spans="1:5" x14ac:dyDescent="0.45">
      <c r="A158" t="s">
        <v>161</v>
      </c>
      <c r="B158">
        <v>99</v>
      </c>
      <c r="C158">
        <v>143</v>
      </c>
      <c r="D158">
        <v>97</v>
      </c>
      <c r="E158">
        <v>79</v>
      </c>
    </row>
    <row r="159" spans="1:5" x14ac:dyDescent="0.45">
      <c r="A159" t="s">
        <v>162</v>
      </c>
      <c r="B159">
        <v>79</v>
      </c>
      <c r="C159">
        <v>110</v>
      </c>
      <c r="D159">
        <v>73</v>
      </c>
      <c r="E159">
        <v>57</v>
      </c>
    </row>
    <row r="160" spans="1:5" x14ac:dyDescent="0.45">
      <c r="A160" t="s">
        <v>163</v>
      </c>
      <c r="B160">
        <v>71</v>
      </c>
      <c r="C160">
        <v>128</v>
      </c>
      <c r="D160">
        <v>41</v>
      </c>
      <c r="E160">
        <v>48</v>
      </c>
    </row>
    <row r="161" spans="1:5" x14ac:dyDescent="0.45">
      <c r="A161" t="s">
        <v>164</v>
      </c>
      <c r="B161">
        <v>82</v>
      </c>
      <c r="C161">
        <v>104</v>
      </c>
      <c r="D161">
        <v>78</v>
      </c>
      <c r="E161">
        <v>53</v>
      </c>
    </row>
    <row r="162" spans="1:5" x14ac:dyDescent="0.45">
      <c r="A162" t="s">
        <v>165</v>
      </c>
      <c r="B162">
        <v>85</v>
      </c>
      <c r="C162">
        <v>109</v>
      </c>
      <c r="D162">
        <v>89</v>
      </c>
      <c r="E162">
        <v>73</v>
      </c>
    </row>
    <row r="163" spans="1:5" x14ac:dyDescent="0.45">
      <c r="A163" t="s">
        <v>166</v>
      </c>
      <c r="B163">
        <v>84</v>
      </c>
      <c r="C163">
        <v>106</v>
      </c>
      <c r="D163">
        <v>84</v>
      </c>
      <c r="E163">
        <v>80</v>
      </c>
    </row>
    <row r="164" spans="1:5" x14ac:dyDescent="0.45">
      <c r="A164" t="s">
        <v>167</v>
      </c>
      <c r="B164">
        <v>87</v>
      </c>
      <c r="C164">
        <v>125</v>
      </c>
      <c r="D164">
        <v>59</v>
      </c>
      <c r="E164">
        <v>67</v>
      </c>
    </row>
    <row r="165" spans="1:5" x14ac:dyDescent="0.45">
      <c r="A165" t="s">
        <v>168</v>
      </c>
      <c r="B165">
        <v>69</v>
      </c>
      <c r="C165">
        <v>84</v>
      </c>
      <c r="D165">
        <v>60</v>
      </c>
      <c r="E165">
        <v>58</v>
      </c>
    </row>
    <row r="166" spans="1:5" x14ac:dyDescent="0.45">
      <c r="A166" t="s">
        <v>169</v>
      </c>
      <c r="B166">
        <v>69</v>
      </c>
      <c r="C166">
        <v>89</v>
      </c>
      <c r="D166">
        <v>60</v>
      </c>
      <c r="E166">
        <v>67</v>
      </c>
    </row>
    <row r="167" spans="1:5" x14ac:dyDescent="0.45">
      <c r="A167" t="s">
        <v>170</v>
      </c>
      <c r="B167">
        <v>81</v>
      </c>
      <c r="C167">
        <v>109</v>
      </c>
      <c r="D167">
        <v>62</v>
      </c>
      <c r="E167">
        <v>75</v>
      </c>
    </row>
    <row r="168" spans="1:5" x14ac:dyDescent="0.45">
      <c r="A168" t="s">
        <v>171</v>
      </c>
      <c r="B168">
        <v>71</v>
      </c>
      <c r="C168">
        <v>121</v>
      </c>
      <c r="D168">
        <v>67</v>
      </c>
      <c r="E168">
        <v>55</v>
      </c>
    </row>
    <row r="169" spans="1:5" x14ac:dyDescent="0.45">
      <c r="A169" t="s">
        <v>172</v>
      </c>
      <c r="B169">
        <v>76</v>
      </c>
      <c r="C169">
        <v>102</v>
      </c>
      <c r="D169">
        <v>44</v>
      </c>
      <c r="E169">
        <v>73</v>
      </c>
    </row>
    <row r="170" spans="1:5" x14ac:dyDescent="0.45">
      <c r="A170" t="s">
        <v>173</v>
      </c>
      <c r="B170">
        <v>77</v>
      </c>
      <c r="C170">
        <v>111</v>
      </c>
      <c r="D170">
        <v>68</v>
      </c>
      <c r="E170">
        <v>60</v>
      </c>
    </row>
    <row r="171" spans="1:5" x14ac:dyDescent="0.45">
      <c r="A171" t="s">
        <v>174</v>
      </c>
      <c r="B171">
        <v>76</v>
      </c>
      <c r="C171">
        <v>106</v>
      </c>
      <c r="D171">
        <v>63</v>
      </c>
      <c r="E171">
        <v>54</v>
      </c>
    </row>
    <row r="172" spans="1:5" x14ac:dyDescent="0.45">
      <c r="A172" t="s">
        <v>175</v>
      </c>
      <c r="B172">
        <v>90</v>
      </c>
      <c r="C172">
        <v>107</v>
      </c>
      <c r="D172">
        <v>93</v>
      </c>
      <c r="E172">
        <v>75</v>
      </c>
    </row>
    <row r="173" spans="1:5" x14ac:dyDescent="0.45">
      <c r="A173" t="s">
        <v>176</v>
      </c>
      <c r="B173">
        <v>74</v>
      </c>
      <c r="C173">
        <v>97</v>
      </c>
      <c r="D173">
        <v>52</v>
      </c>
      <c r="E173">
        <v>58</v>
      </c>
    </row>
    <row r="174" spans="1:5" x14ac:dyDescent="0.45">
      <c r="A174" t="s">
        <v>177</v>
      </c>
      <c r="B174">
        <v>74</v>
      </c>
      <c r="C174">
        <v>133</v>
      </c>
      <c r="D174">
        <v>60</v>
      </c>
      <c r="E174">
        <v>50</v>
      </c>
    </row>
    <row r="175" spans="1:5" x14ac:dyDescent="0.45">
      <c r="A175" t="s">
        <v>178</v>
      </c>
      <c r="B175">
        <v>65</v>
      </c>
      <c r="C175">
        <v>96</v>
      </c>
      <c r="D175">
        <v>52</v>
      </c>
      <c r="E175">
        <v>74</v>
      </c>
    </row>
    <row r="176" spans="1:5" x14ac:dyDescent="0.45">
      <c r="A176" t="s">
        <v>179</v>
      </c>
      <c r="B176">
        <v>66</v>
      </c>
      <c r="C176">
        <v>97</v>
      </c>
      <c r="D176">
        <v>65</v>
      </c>
      <c r="E176">
        <v>81</v>
      </c>
    </row>
    <row r="177" spans="1:5" x14ac:dyDescent="0.45">
      <c r="A177" t="s">
        <v>180</v>
      </c>
      <c r="B177">
        <v>73</v>
      </c>
      <c r="C177">
        <v>116</v>
      </c>
      <c r="D177">
        <v>62</v>
      </c>
      <c r="E177">
        <v>45</v>
      </c>
    </row>
    <row r="178" spans="1:5" x14ac:dyDescent="0.45">
      <c r="A178" t="s">
        <v>181</v>
      </c>
      <c r="B178">
        <v>80</v>
      </c>
      <c r="C178">
        <v>108</v>
      </c>
      <c r="D178">
        <v>74</v>
      </c>
      <c r="E178">
        <v>92</v>
      </c>
    </row>
    <row r="179" spans="1:5" x14ac:dyDescent="0.45">
      <c r="A179" t="s">
        <v>182</v>
      </c>
      <c r="B179">
        <v>96</v>
      </c>
      <c r="C179">
        <v>102</v>
      </c>
      <c r="D179">
        <v>84</v>
      </c>
      <c r="E179">
        <v>84</v>
      </c>
    </row>
    <row r="180" spans="1:5" x14ac:dyDescent="0.45">
      <c r="A180" t="s">
        <v>183</v>
      </c>
      <c r="B180">
        <v>77</v>
      </c>
      <c r="C180">
        <v>94</v>
      </c>
      <c r="D180">
        <v>78</v>
      </c>
      <c r="E180">
        <v>79</v>
      </c>
    </row>
    <row r="181" spans="1:5" x14ac:dyDescent="0.45">
      <c r="A181" t="s">
        <v>184</v>
      </c>
      <c r="B181">
        <v>73</v>
      </c>
      <c r="C181">
        <v>98</v>
      </c>
      <c r="D181">
        <v>71</v>
      </c>
      <c r="E181">
        <v>68</v>
      </c>
    </row>
    <row r="182" spans="1:5" x14ac:dyDescent="0.45">
      <c r="A182" t="s">
        <v>185</v>
      </c>
      <c r="B182">
        <v>70</v>
      </c>
      <c r="C182">
        <v>87</v>
      </c>
      <c r="D182">
        <v>63</v>
      </c>
      <c r="E182">
        <v>62</v>
      </c>
    </row>
    <row r="183" spans="1:5" x14ac:dyDescent="0.45">
      <c r="A183" t="s">
        <v>186</v>
      </c>
      <c r="B183">
        <v>68</v>
      </c>
      <c r="C183">
        <v>104</v>
      </c>
      <c r="D183">
        <v>57</v>
      </c>
      <c r="E183">
        <v>53</v>
      </c>
    </row>
    <row r="184" spans="1:5" x14ac:dyDescent="0.45">
      <c r="A184" t="s">
        <v>187</v>
      </c>
      <c r="B184">
        <v>66</v>
      </c>
      <c r="C184">
        <v>85</v>
      </c>
      <c r="D184">
        <v>57</v>
      </c>
      <c r="E184">
        <v>51</v>
      </c>
    </row>
    <row r="185" spans="1:5" x14ac:dyDescent="0.45">
      <c r="A185" t="s">
        <v>188</v>
      </c>
      <c r="B185">
        <v>86</v>
      </c>
      <c r="C185">
        <v>145</v>
      </c>
      <c r="D185">
        <v>64</v>
      </c>
      <c r="E185">
        <v>74</v>
      </c>
    </row>
    <row r="186" spans="1:5" x14ac:dyDescent="0.45">
      <c r="A186" t="s">
        <v>189</v>
      </c>
      <c r="B186">
        <v>88</v>
      </c>
      <c r="C186">
        <v>105</v>
      </c>
      <c r="D186">
        <v>76</v>
      </c>
      <c r="E186">
        <v>90</v>
      </c>
    </row>
    <row r="187" spans="1:5" x14ac:dyDescent="0.45">
      <c r="A187" t="s">
        <v>190</v>
      </c>
      <c r="B187">
        <v>82</v>
      </c>
      <c r="C187">
        <v>96</v>
      </c>
      <c r="D187">
        <v>71</v>
      </c>
      <c r="E187">
        <v>63</v>
      </c>
    </row>
    <row r="188" spans="1:5" x14ac:dyDescent="0.45">
      <c r="A188" t="s">
        <v>191</v>
      </c>
      <c r="B188">
        <v>85</v>
      </c>
      <c r="C188">
        <v>103</v>
      </c>
      <c r="D188">
        <v>85</v>
      </c>
      <c r="E188">
        <v>81</v>
      </c>
    </row>
    <row r="189" spans="1:5" x14ac:dyDescent="0.45">
      <c r="A189" t="s">
        <v>192</v>
      </c>
      <c r="B189">
        <v>78</v>
      </c>
      <c r="C189">
        <v>115</v>
      </c>
      <c r="D189">
        <v>56</v>
      </c>
      <c r="E189">
        <v>75</v>
      </c>
    </row>
    <row r="190" spans="1:5" x14ac:dyDescent="0.45">
      <c r="A190" t="s">
        <v>193</v>
      </c>
      <c r="B190">
        <v>87</v>
      </c>
      <c r="C190">
        <v>135</v>
      </c>
      <c r="D190">
        <v>61</v>
      </c>
      <c r="E190">
        <v>61</v>
      </c>
    </row>
    <row r="191" spans="1:5" x14ac:dyDescent="0.45">
      <c r="A191" t="s">
        <v>194</v>
      </c>
      <c r="B191">
        <v>72</v>
      </c>
      <c r="C191">
        <v>104</v>
      </c>
      <c r="D191">
        <v>58</v>
      </c>
      <c r="E191">
        <v>53</v>
      </c>
    </row>
    <row r="192" spans="1:5" x14ac:dyDescent="0.45">
      <c r="A192" t="s">
        <v>195</v>
      </c>
      <c r="B192">
        <v>87</v>
      </c>
      <c r="C192">
        <v>126</v>
      </c>
      <c r="D192">
        <v>83</v>
      </c>
      <c r="E192">
        <v>59</v>
      </c>
    </row>
    <row r="193" spans="1:5" x14ac:dyDescent="0.45">
      <c r="A193" t="s">
        <v>196</v>
      </c>
      <c r="B193">
        <v>81</v>
      </c>
      <c r="C193">
        <v>121</v>
      </c>
      <c r="D193">
        <v>70</v>
      </c>
      <c r="E193">
        <v>81</v>
      </c>
    </row>
    <row r="194" spans="1:5" x14ac:dyDescent="0.45">
      <c r="A194" t="s">
        <v>197</v>
      </c>
      <c r="B194">
        <v>83</v>
      </c>
      <c r="C194">
        <v>106</v>
      </c>
      <c r="D194">
        <v>72</v>
      </c>
      <c r="E194">
        <v>88</v>
      </c>
    </row>
    <row r="195" spans="1:5" x14ac:dyDescent="0.45">
      <c r="A195" t="s">
        <v>198</v>
      </c>
      <c r="B195">
        <v>87</v>
      </c>
      <c r="C195">
        <v>107</v>
      </c>
      <c r="D195">
        <v>93</v>
      </c>
      <c r="E195">
        <v>72</v>
      </c>
    </row>
    <row r="196" spans="1:5" x14ac:dyDescent="0.45">
      <c r="A196" t="s">
        <v>199</v>
      </c>
      <c r="B196">
        <v>63</v>
      </c>
      <c r="C196">
        <v>102</v>
      </c>
      <c r="D196">
        <v>47</v>
      </c>
      <c r="E196">
        <v>64</v>
      </c>
    </row>
    <row r="197" spans="1:5" x14ac:dyDescent="0.45">
      <c r="A197" t="s">
        <v>200</v>
      </c>
      <c r="B197">
        <v>80</v>
      </c>
      <c r="C197">
        <v>85</v>
      </c>
      <c r="D197">
        <v>64</v>
      </c>
      <c r="E197">
        <v>81</v>
      </c>
    </row>
    <row r="198" spans="1:5" x14ac:dyDescent="0.45">
      <c r="A198" t="s">
        <v>201</v>
      </c>
      <c r="B198">
        <v>99</v>
      </c>
      <c r="C198">
        <v>143</v>
      </c>
      <c r="D198">
        <v>97</v>
      </c>
      <c r="E198">
        <v>79</v>
      </c>
    </row>
    <row r="199" spans="1:5" x14ac:dyDescent="0.45">
      <c r="A199" t="s">
        <v>202</v>
      </c>
      <c r="B199">
        <v>79</v>
      </c>
      <c r="C199">
        <v>110</v>
      </c>
      <c r="D199">
        <v>73</v>
      </c>
      <c r="E199">
        <v>57</v>
      </c>
    </row>
    <row r="200" spans="1:5" x14ac:dyDescent="0.45">
      <c r="A200" t="s">
        <v>203</v>
      </c>
      <c r="B200">
        <v>71</v>
      </c>
      <c r="C200">
        <v>128</v>
      </c>
      <c r="D200">
        <v>41</v>
      </c>
      <c r="E200">
        <v>48</v>
      </c>
    </row>
    <row r="201" spans="1:5" x14ac:dyDescent="0.45">
      <c r="A201" t="s">
        <v>204</v>
      </c>
      <c r="B201">
        <v>82</v>
      </c>
      <c r="C201">
        <v>104</v>
      </c>
      <c r="D201">
        <v>78</v>
      </c>
      <c r="E201">
        <v>53</v>
      </c>
    </row>
    <row r="202" spans="1:5" x14ac:dyDescent="0.45">
      <c r="A202" t="s">
        <v>205</v>
      </c>
      <c r="B202">
        <v>85</v>
      </c>
      <c r="C202">
        <v>101</v>
      </c>
      <c r="D202">
        <v>87</v>
      </c>
      <c r="E202">
        <v>65</v>
      </c>
    </row>
    <row r="203" spans="1:5" x14ac:dyDescent="0.45">
      <c r="A203" t="s">
        <v>206</v>
      </c>
      <c r="B203">
        <v>75</v>
      </c>
      <c r="C203">
        <v>94</v>
      </c>
      <c r="D203">
        <v>54</v>
      </c>
      <c r="E203">
        <v>60</v>
      </c>
    </row>
    <row r="204" spans="1:5" x14ac:dyDescent="0.45">
      <c r="A204" t="s">
        <v>207</v>
      </c>
      <c r="B204">
        <v>81</v>
      </c>
      <c r="C204">
        <v>106</v>
      </c>
      <c r="D204">
        <v>72</v>
      </c>
      <c r="E204">
        <v>55</v>
      </c>
    </row>
    <row r="205" spans="1:5" x14ac:dyDescent="0.45">
      <c r="A205" t="s">
        <v>208</v>
      </c>
      <c r="B205">
        <v>68</v>
      </c>
      <c r="C205">
        <v>102</v>
      </c>
      <c r="D205">
        <v>32</v>
      </c>
      <c r="E205">
        <v>69</v>
      </c>
    </row>
    <row r="206" spans="1:5" x14ac:dyDescent="0.45">
      <c r="A206" t="s">
        <v>209</v>
      </c>
      <c r="B206">
        <v>81</v>
      </c>
      <c r="C206">
        <v>98</v>
      </c>
      <c r="D206">
        <v>72</v>
      </c>
      <c r="E206">
        <v>69</v>
      </c>
    </row>
    <row r="207" spans="1:5" x14ac:dyDescent="0.45">
      <c r="A207" t="s">
        <v>210</v>
      </c>
      <c r="B207">
        <v>80</v>
      </c>
      <c r="C207">
        <v>112</v>
      </c>
      <c r="D207">
        <v>72</v>
      </c>
      <c r="E207">
        <v>78</v>
      </c>
    </row>
    <row r="208" spans="1:5" x14ac:dyDescent="0.45">
      <c r="A208" t="s">
        <v>211</v>
      </c>
      <c r="B208">
        <v>78</v>
      </c>
      <c r="C208">
        <v>87</v>
      </c>
      <c r="D208">
        <v>74</v>
      </c>
      <c r="E208">
        <v>93</v>
      </c>
    </row>
    <row r="209" spans="1:5" x14ac:dyDescent="0.45">
      <c r="A209" t="s">
        <v>212</v>
      </c>
      <c r="B209">
        <v>62</v>
      </c>
      <c r="C209">
        <v>73</v>
      </c>
      <c r="D209">
        <v>68</v>
      </c>
      <c r="E209">
        <v>67</v>
      </c>
    </row>
    <row r="210" spans="1:5" x14ac:dyDescent="0.45">
      <c r="A210" t="s">
        <v>213</v>
      </c>
      <c r="B210">
        <v>81</v>
      </c>
      <c r="C210">
        <v>94</v>
      </c>
      <c r="D210">
        <v>67</v>
      </c>
      <c r="E210">
        <v>59</v>
      </c>
    </row>
    <row r="211" spans="1:5" x14ac:dyDescent="0.45">
      <c r="A211" t="s">
        <v>214</v>
      </c>
      <c r="B211">
        <v>76</v>
      </c>
      <c r="C211">
        <v>117</v>
      </c>
      <c r="D211">
        <v>66</v>
      </c>
      <c r="E211">
        <v>68</v>
      </c>
    </row>
    <row r="212" spans="1:5" x14ac:dyDescent="0.45">
      <c r="A212" t="s">
        <v>215</v>
      </c>
      <c r="B212">
        <v>77</v>
      </c>
      <c r="C212">
        <v>112</v>
      </c>
      <c r="D212">
        <v>58</v>
      </c>
      <c r="E212">
        <v>57</v>
      </c>
    </row>
    <row r="213" spans="1:5" x14ac:dyDescent="0.45">
      <c r="A213" t="s">
        <v>216</v>
      </c>
      <c r="B213">
        <v>74</v>
      </c>
      <c r="C213">
        <v>113</v>
      </c>
      <c r="D213">
        <v>57</v>
      </c>
      <c r="E213">
        <v>76</v>
      </c>
    </row>
    <row r="214" spans="1:5" x14ac:dyDescent="0.45">
      <c r="A214" t="s">
        <v>217</v>
      </c>
      <c r="B214">
        <v>69</v>
      </c>
      <c r="C214">
        <v>94</v>
      </c>
      <c r="D214">
        <v>65</v>
      </c>
      <c r="E214">
        <v>53</v>
      </c>
    </row>
    <row r="215" spans="1:5" x14ac:dyDescent="0.45">
      <c r="A215" t="s">
        <v>218</v>
      </c>
      <c r="B215">
        <v>68</v>
      </c>
      <c r="C215">
        <v>119</v>
      </c>
      <c r="D215">
        <v>48</v>
      </c>
      <c r="E215">
        <v>44</v>
      </c>
    </row>
    <row r="216" spans="1:5" x14ac:dyDescent="0.45">
      <c r="A216" t="s">
        <v>219</v>
      </c>
      <c r="B216">
        <v>85</v>
      </c>
      <c r="C216">
        <v>111</v>
      </c>
      <c r="D216">
        <v>91</v>
      </c>
      <c r="E216">
        <v>59</v>
      </c>
    </row>
    <row r="217" spans="1:5" x14ac:dyDescent="0.45">
      <c r="A217" t="s">
        <v>220</v>
      </c>
      <c r="B217">
        <v>79</v>
      </c>
      <c r="C217">
        <v>104</v>
      </c>
      <c r="D217">
        <v>50</v>
      </c>
      <c r="E217">
        <v>73</v>
      </c>
    </row>
    <row r="218" spans="1:5" x14ac:dyDescent="0.45">
      <c r="A218" t="s">
        <v>221</v>
      </c>
      <c r="B218">
        <v>74</v>
      </c>
      <c r="C218">
        <v>99</v>
      </c>
      <c r="D218">
        <v>77</v>
      </c>
      <c r="E218">
        <v>83</v>
      </c>
    </row>
    <row r="219" spans="1:5" x14ac:dyDescent="0.45">
      <c r="A219" t="s">
        <v>222</v>
      </c>
      <c r="B219">
        <v>81</v>
      </c>
      <c r="C219">
        <v>104</v>
      </c>
      <c r="D219">
        <v>78</v>
      </c>
      <c r="E219">
        <v>83</v>
      </c>
    </row>
    <row r="220" spans="1:5" x14ac:dyDescent="0.45">
      <c r="A220" t="s">
        <v>223</v>
      </c>
      <c r="B220">
        <v>84</v>
      </c>
      <c r="C220">
        <v>108</v>
      </c>
      <c r="D220">
        <v>58</v>
      </c>
      <c r="E220">
        <v>64</v>
      </c>
    </row>
    <row r="221" spans="1:5" x14ac:dyDescent="0.45">
      <c r="A221" t="s">
        <v>224</v>
      </c>
      <c r="B221">
        <v>92</v>
      </c>
      <c r="C221">
        <v>130</v>
      </c>
      <c r="D221">
        <v>58</v>
      </c>
      <c r="E221">
        <v>75</v>
      </c>
    </row>
    <row r="222" spans="1:5" x14ac:dyDescent="0.45">
      <c r="A222" t="s">
        <v>225</v>
      </c>
      <c r="B222">
        <v>85</v>
      </c>
      <c r="C222">
        <v>109</v>
      </c>
      <c r="D222">
        <v>89</v>
      </c>
      <c r="E222">
        <v>73</v>
      </c>
    </row>
    <row r="223" spans="1:5" x14ac:dyDescent="0.45">
      <c r="A223" t="s">
        <v>226</v>
      </c>
      <c r="B223">
        <v>84</v>
      </c>
      <c r="C223">
        <v>106</v>
      </c>
      <c r="D223">
        <v>84</v>
      </c>
      <c r="E223">
        <v>80</v>
      </c>
    </row>
    <row r="224" spans="1:5" x14ac:dyDescent="0.45">
      <c r="A224" t="s">
        <v>227</v>
      </c>
      <c r="B224">
        <v>87</v>
      </c>
      <c r="C224">
        <v>125</v>
      </c>
      <c r="D224">
        <v>59</v>
      </c>
      <c r="E224">
        <v>67</v>
      </c>
    </row>
    <row r="225" spans="1:5" x14ac:dyDescent="0.45">
      <c r="A225" t="s">
        <v>228</v>
      </c>
      <c r="B225">
        <v>69</v>
      </c>
      <c r="C225">
        <v>84</v>
      </c>
      <c r="D225">
        <v>60</v>
      </c>
      <c r="E225">
        <v>58</v>
      </c>
    </row>
    <row r="226" spans="1:5" x14ac:dyDescent="0.45">
      <c r="A226" t="s">
        <v>229</v>
      </c>
      <c r="B226">
        <v>69</v>
      </c>
      <c r="C226">
        <v>89</v>
      </c>
      <c r="D226">
        <v>60</v>
      </c>
      <c r="E226">
        <v>67</v>
      </c>
    </row>
    <row r="227" spans="1:5" x14ac:dyDescent="0.45">
      <c r="A227" t="s">
        <v>230</v>
      </c>
      <c r="B227">
        <v>81</v>
      </c>
      <c r="C227">
        <v>109</v>
      </c>
      <c r="D227">
        <v>62</v>
      </c>
      <c r="E227">
        <v>75</v>
      </c>
    </row>
    <row r="228" spans="1:5" x14ac:dyDescent="0.45">
      <c r="A228" t="s">
        <v>231</v>
      </c>
      <c r="B228">
        <v>71</v>
      </c>
      <c r="C228">
        <v>121</v>
      </c>
      <c r="D228">
        <v>67</v>
      </c>
      <c r="E228">
        <v>55</v>
      </c>
    </row>
    <row r="229" spans="1:5" x14ac:dyDescent="0.45">
      <c r="A229" t="s">
        <v>232</v>
      </c>
      <c r="B229">
        <v>76</v>
      </c>
      <c r="C229">
        <v>102</v>
      </c>
      <c r="D229">
        <v>44</v>
      </c>
      <c r="E229">
        <v>73</v>
      </c>
    </row>
    <row r="230" spans="1:5" x14ac:dyDescent="0.45">
      <c r="A230" t="s">
        <v>233</v>
      </c>
      <c r="B230">
        <v>77</v>
      </c>
      <c r="C230">
        <v>111</v>
      </c>
      <c r="D230">
        <v>68</v>
      </c>
      <c r="E230">
        <v>60</v>
      </c>
    </row>
    <row r="231" spans="1:5" x14ac:dyDescent="0.45">
      <c r="A231" t="s">
        <v>234</v>
      </c>
      <c r="B231">
        <v>76</v>
      </c>
      <c r="C231">
        <v>106</v>
      </c>
      <c r="D231">
        <v>63</v>
      </c>
      <c r="E231">
        <v>54</v>
      </c>
    </row>
    <row r="232" spans="1:5" x14ac:dyDescent="0.45">
      <c r="A232" t="s">
        <v>235</v>
      </c>
      <c r="B232">
        <v>90</v>
      </c>
      <c r="C232">
        <v>107</v>
      </c>
      <c r="D232">
        <v>93</v>
      </c>
      <c r="E232">
        <v>75</v>
      </c>
    </row>
    <row r="233" spans="1:5" x14ac:dyDescent="0.45">
      <c r="A233" t="s">
        <v>236</v>
      </c>
      <c r="B233">
        <v>74</v>
      </c>
      <c r="C233">
        <v>97</v>
      </c>
      <c r="D233">
        <v>52</v>
      </c>
      <c r="E233">
        <v>58</v>
      </c>
    </row>
    <row r="234" spans="1:5" x14ac:dyDescent="0.45">
      <c r="A234" t="s">
        <v>237</v>
      </c>
      <c r="B234">
        <v>74</v>
      </c>
      <c r="C234">
        <v>133</v>
      </c>
      <c r="D234">
        <v>60</v>
      </c>
      <c r="E234">
        <v>50</v>
      </c>
    </row>
    <row r="235" spans="1:5" x14ac:dyDescent="0.45">
      <c r="A235" t="s">
        <v>238</v>
      </c>
      <c r="B235">
        <v>65</v>
      </c>
      <c r="C235">
        <v>96</v>
      </c>
      <c r="D235">
        <v>52</v>
      </c>
      <c r="E235">
        <v>74</v>
      </c>
    </row>
    <row r="236" spans="1:5" x14ac:dyDescent="0.45">
      <c r="A236" t="s">
        <v>239</v>
      </c>
      <c r="B236">
        <v>66</v>
      </c>
      <c r="C236">
        <v>97</v>
      </c>
      <c r="D236">
        <v>65</v>
      </c>
      <c r="E236">
        <v>81</v>
      </c>
    </row>
    <row r="237" spans="1:5" x14ac:dyDescent="0.45">
      <c r="A237" t="s">
        <v>240</v>
      </c>
      <c r="B237">
        <v>73</v>
      </c>
      <c r="C237">
        <v>116</v>
      </c>
      <c r="D237">
        <v>62</v>
      </c>
      <c r="E237">
        <v>45</v>
      </c>
    </row>
    <row r="238" spans="1:5" x14ac:dyDescent="0.45">
      <c r="A238" t="s">
        <v>241</v>
      </c>
      <c r="B238">
        <v>80</v>
      </c>
      <c r="C238">
        <v>108</v>
      </c>
      <c r="D238">
        <v>74</v>
      </c>
      <c r="E238">
        <v>92</v>
      </c>
    </row>
    <row r="239" spans="1:5" x14ac:dyDescent="0.45">
      <c r="A239" t="s">
        <v>242</v>
      </c>
      <c r="B239">
        <v>96</v>
      </c>
      <c r="C239">
        <v>102</v>
      </c>
      <c r="D239">
        <v>84</v>
      </c>
      <c r="E239">
        <v>84</v>
      </c>
    </row>
    <row r="240" spans="1:5" x14ac:dyDescent="0.45">
      <c r="A240" t="s">
        <v>243</v>
      </c>
      <c r="B240">
        <v>77</v>
      </c>
      <c r="C240">
        <v>94</v>
      </c>
      <c r="D240">
        <v>78</v>
      </c>
      <c r="E240">
        <v>79</v>
      </c>
    </row>
    <row r="241" spans="1:5" x14ac:dyDescent="0.45">
      <c r="A241" t="s">
        <v>244</v>
      </c>
      <c r="B241">
        <v>73</v>
      </c>
      <c r="C241">
        <v>98</v>
      </c>
      <c r="D241">
        <v>71</v>
      </c>
      <c r="E241">
        <v>68</v>
      </c>
    </row>
    <row r="242" spans="1:5" x14ac:dyDescent="0.45">
      <c r="A242" t="s">
        <v>245</v>
      </c>
      <c r="B242">
        <v>70</v>
      </c>
      <c r="C242">
        <v>87</v>
      </c>
      <c r="D242">
        <v>63</v>
      </c>
      <c r="E242">
        <v>62</v>
      </c>
    </row>
    <row r="243" spans="1:5" x14ac:dyDescent="0.45">
      <c r="A243" t="s">
        <v>246</v>
      </c>
      <c r="B243">
        <v>68</v>
      </c>
      <c r="C243">
        <v>104</v>
      </c>
      <c r="D243">
        <v>57</v>
      </c>
      <c r="E243">
        <v>53</v>
      </c>
    </row>
    <row r="244" spans="1:5" x14ac:dyDescent="0.45">
      <c r="A244" t="s">
        <v>247</v>
      </c>
      <c r="B244">
        <v>66</v>
      </c>
      <c r="C244">
        <v>85</v>
      </c>
      <c r="D244">
        <v>57</v>
      </c>
      <c r="E244">
        <v>51</v>
      </c>
    </row>
    <row r="245" spans="1:5" x14ac:dyDescent="0.45">
      <c r="A245" t="s">
        <v>248</v>
      </c>
      <c r="B245">
        <v>86</v>
      </c>
      <c r="C245">
        <v>145</v>
      </c>
      <c r="D245">
        <v>64</v>
      </c>
      <c r="E245">
        <v>74</v>
      </c>
    </row>
    <row r="246" spans="1:5" x14ac:dyDescent="0.45">
      <c r="A246" t="s">
        <v>249</v>
      </c>
      <c r="B246">
        <v>88</v>
      </c>
      <c r="C246">
        <v>105</v>
      </c>
      <c r="D246">
        <v>76</v>
      </c>
      <c r="E246">
        <v>90</v>
      </c>
    </row>
    <row r="247" spans="1:5" x14ac:dyDescent="0.45">
      <c r="A247" t="s">
        <v>250</v>
      </c>
      <c r="B247">
        <v>82</v>
      </c>
      <c r="C247">
        <v>96</v>
      </c>
      <c r="D247">
        <v>71</v>
      </c>
      <c r="E247">
        <v>63</v>
      </c>
    </row>
    <row r="248" spans="1:5" x14ac:dyDescent="0.45">
      <c r="A248" t="s">
        <v>251</v>
      </c>
      <c r="B248">
        <v>85</v>
      </c>
      <c r="C248">
        <v>103</v>
      </c>
      <c r="D248">
        <v>85</v>
      </c>
      <c r="E248">
        <v>81</v>
      </c>
    </row>
    <row r="249" spans="1:5" x14ac:dyDescent="0.45">
      <c r="A249" t="s">
        <v>252</v>
      </c>
      <c r="B249">
        <v>78</v>
      </c>
      <c r="C249">
        <v>115</v>
      </c>
      <c r="D249">
        <v>56</v>
      </c>
      <c r="E249">
        <v>75</v>
      </c>
    </row>
    <row r="250" spans="1:5" x14ac:dyDescent="0.45">
      <c r="A250" t="s">
        <v>253</v>
      </c>
      <c r="B250">
        <v>87</v>
      </c>
      <c r="C250">
        <v>135</v>
      </c>
      <c r="D250">
        <v>61</v>
      </c>
      <c r="E250">
        <v>61</v>
      </c>
    </row>
    <row r="251" spans="1:5" x14ac:dyDescent="0.45">
      <c r="A251" t="s">
        <v>254</v>
      </c>
      <c r="B251">
        <v>72</v>
      </c>
      <c r="C251">
        <v>104</v>
      </c>
      <c r="D251">
        <v>58</v>
      </c>
      <c r="E251">
        <v>53</v>
      </c>
    </row>
    <row r="252" spans="1:5" x14ac:dyDescent="0.45">
      <c r="A252" t="s">
        <v>255</v>
      </c>
      <c r="B252">
        <v>87</v>
      </c>
      <c r="C252">
        <v>126</v>
      </c>
      <c r="D252">
        <v>83</v>
      </c>
      <c r="E252">
        <v>59</v>
      </c>
    </row>
    <row r="253" spans="1:5" x14ac:dyDescent="0.45">
      <c r="A253" t="s">
        <v>256</v>
      </c>
      <c r="B253">
        <v>81</v>
      </c>
      <c r="C253">
        <v>121</v>
      </c>
      <c r="D253">
        <v>70</v>
      </c>
      <c r="E253">
        <v>81</v>
      </c>
    </row>
    <row r="254" spans="1:5" x14ac:dyDescent="0.45">
      <c r="A254" t="s">
        <v>257</v>
      </c>
      <c r="B254">
        <v>83</v>
      </c>
      <c r="C254">
        <v>106</v>
      </c>
      <c r="D254">
        <v>72</v>
      </c>
      <c r="E254">
        <v>88</v>
      </c>
    </row>
    <row r="255" spans="1:5" x14ac:dyDescent="0.45">
      <c r="A255" t="s">
        <v>258</v>
      </c>
      <c r="B255">
        <v>87</v>
      </c>
      <c r="C255">
        <v>107</v>
      </c>
      <c r="D255">
        <v>93</v>
      </c>
      <c r="E255">
        <v>72</v>
      </c>
    </row>
    <row r="256" spans="1:5" x14ac:dyDescent="0.45">
      <c r="A256" t="s">
        <v>259</v>
      </c>
      <c r="B256">
        <v>63</v>
      </c>
      <c r="C256">
        <v>102</v>
      </c>
      <c r="D256">
        <v>47</v>
      </c>
      <c r="E256">
        <v>64</v>
      </c>
    </row>
    <row r="257" spans="1:5" x14ac:dyDescent="0.45">
      <c r="A257" t="s">
        <v>260</v>
      </c>
      <c r="B257">
        <v>80</v>
      </c>
      <c r="C257">
        <v>85</v>
      </c>
      <c r="D257">
        <v>64</v>
      </c>
      <c r="E257">
        <v>81</v>
      </c>
    </row>
    <row r="258" spans="1:5" x14ac:dyDescent="0.45">
      <c r="A258" t="s">
        <v>261</v>
      </c>
      <c r="B258">
        <v>99</v>
      </c>
      <c r="C258">
        <v>143</v>
      </c>
      <c r="D258">
        <v>97</v>
      </c>
      <c r="E258">
        <v>79</v>
      </c>
    </row>
    <row r="259" spans="1:5" x14ac:dyDescent="0.45">
      <c r="A259" t="s">
        <v>262</v>
      </c>
      <c r="B259">
        <v>79</v>
      </c>
      <c r="C259">
        <v>110</v>
      </c>
      <c r="D259">
        <v>73</v>
      </c>
      <c r="E259">
        <v>57</v>
      </c>
    </row>
    <row r="260" spans="1:5" x14ac:dyDescent="0.45">
      <c r="A260" t="s">
        <v>263</v>
      </c>
      <c r="B260">
        <v>71</v>
      </c>
      <c r="C260">
        <v>128</v>
      </c>
      <c r="D260">
        <v>41</v>
      </c>
      <c r="E260">
        <v>48</v>
      </c>
    </row>
    <row r="261" spans="1:5" x14ac:dyDescent="0.45">
      <c r="A261" t="s">
        <v>264</v>
      </c>
      <c r="B261">
        <v>82</v>
      </c>
      <c r="C261">
        <v>104</v>
      </c>
      <c r="D261">
        <v>78</v>
      </c>
      <c r="E261">
        <v>53</v>
      </c>
    </row>
    <row r="262" spans="1:5" x14ac:dyDescent="0.45">
      <c r="A262" t="s">
        <v>265</v>
      </c>
      <c r="B262">
        <v>85</v>
      </c>
      <c r="C262">
        <v>101</v>
      </c>
      <c r="D262">
        <v>87</v>
      </c>
      <c r="E262">
        <v>65</v>
      </c>
    </row>
    <row r="263" spans="1:5" x14ac:dyDescent="0.45">
      <c r="A263" t="s">
        <v>266</v>
      </c>
      <c r="B263">
        <v>75</v>
      </c>
      <c r="C263">
        <v>94</v>
      </c>
      <c r="D263">
        <v>54</v>
      </c>
      <c r="E263">
        <v>60</v>
      </c>
    </row>
    <row r="264" spans="1:5" x14ac:dyDescent="0.45">
      <c r="A264" t="s">
        <v>267</v>
      </c>
      <c r="B264">
        <v>81</v>
      </c>
      <c r="C264">
        <v>106</v>
      </c>
      <c r="D264">
        <v>72</v>
      </c>
      <c r="E264">
        <v>55</v>
      </c>
    </row>
    <row r="265" spans="1:5" x14ac:dyDescent="0.45">
      <c r="A265" t="s">
        <v>268</v>
      </c>
      <c r="B265">
        <v>68</v>
      </c>
      <c r="C265">
        <v>102</v>
      </c>
      <c r="D265">
        <v>32</v>
      </c>
      <c r="E265">
        <v>69</v>
      </c>
    </row>
    <row r="266" spans="1:5" x14ac:dyDescent="0.45">
      <c r="A266" t="s">
        <v>269</v>
      </c>
      <c r="B266">
        <v>81</v>
      </c>
      <c r="C266">
        <v>98</v>
      </c>
      <c r="D266">
        <v>72</v>
      </c>
      <c r="E266">
        <v>69</v>
      </c>
    </row>
    <row r="267" spans="1:5" x14ac:dyDescent="0.45">
      <c r="A267" t="s">
        <v>270</v>
      </c>
      <c r="B267">
        <v>80</v>
      </c>
      <c r="C267">
        <v>112</v>
      </c>
      <c r="D267">
        <v>72</v>
      </c>
      <c r="E267">
        <v>78</v>
      </c>
    </row>
    <row r="268" spans="1:5" x14ac:dyDescent="0.45">
      <c r="A268" t="s">
        <v>271</v>
      </c>
      <c r="B268">
        <v>78</v>
      </c>
      <c r="C268">
        <v>87</v>
      </c>
      <c r="D268">
        <v>74</v>
      </c>
      <c r="E268">
        <v>93</v>
      </c>
    </row>
    <row r="269" spans="1:5" x14ac:dyDescent="0.45">
      <c r="A269" t="s">
        <v>272</v>
      </c>
      <c r="B269">
        <v>62</v>
      </c>
      <c r="C269">
        <v>73</v>
      </c>
      <c r="D269">
        <v>68</v>
      </c>
      <c r="E269">
        <v>67</v>
      </c>
    </row>
    <row r="270" spans="1:5" x14ac:dyDescent="0.45">
      <c r="A270" t="s">
        <v>273</v>
      </c>
      <c r="B270">
        <v>81</v>
      </c>
      <c r="C270">
        <v>94</v>
      </c>
      <c r="D270">
        <v>67</v>
      </c>
      <c r="E270">
        <v>59</v>
      </c>
    </row>
    <row r="271" spans="1:5" x14ac:dyDescent="0.45">
      <c r="A271" t="s">
        <v>274</v>
      </c>
      <c r="B271">
        <v>76</v>
      </c>
      <c r="C271">
        <v>117</v>
      </c>
      <c r="D271">
        <v>66</v>
      </c>
      <c r="E271">
        <v>68</v>
      </c>
    </row>
    <row r="272" spans="1:5" x14ac:dyDescent="0.45">
      <c r="A272" t="s">
        <v>275</v>
      </c>
      <c r="B272">
        <v>77</v>
      </c>
      <c r="C272">
        <v>112</v>
      </c>
      <c r="D272">
        <v>58</v>
      </c>
      <c r="E272">
        <v>57</v>
      </c>
    </row>
    <row r="273" spans="1:5" x14ac:dyDescent="0.45">
      <c r="A273" t="s">
        <v>276</v>
      </c>
      <c r="B273">
        <v>74</v>
      </c>
      <c r="C273">
        <v>113</v>
      </c>
      <c r="D273">
        <v>57</v>
      </c>
      <c r="E273">
        <v>76</v>
      </c>
    </row>
    <row r="274" spans="1:5" x14ac:dyDescent="0.45">
      <c r="A274" t="s">
        <v>277</v>
      </c>
      <c r="B274">
        <v>69</v>
      </c>
      <c r="C274">
        <v>94</v>
      </c>
      <c r="D274">
        <v>65</v>
      </c>
      <c r="E274">
        <v>53</v>
      </c>
    </row>
    <row r="275" spans="1:5" x14ac:dyDescent="0.45">
      <c r="A275" t="s">
        <v>278</v>
      </c>
      <c r="B275">
        <v>68</v>
      </c>
      <c r="C275">
        <v>119</v>
      </c>
      <c r="D275">
        <v>48</v>
      </c>
      <c r="E275">
        <v>44</v>
      </c>
    </row>
    <row r="276" spans="1:5" x14ac:dyDescent="0.45">
      <c r="A276" t="s">
        <v>279</v>
      </c>
      <c r="B276">
        <v>85</v>
      </c>
      <c r="C276">
        <v>111</v>
      </c>
      <c r="D276">
        <v>91</v>
      </c>
      <c r="E276">
        <v>59</v>
      </c>
    </row>
    <row r="277" spans="1:5" x14ac:dyDescent="0.45">
      <c r="A277" t="s">
        <v>280</v>
      </c>
      <c r="B277">
        <v>79</v>
      </c>
      <c r="C277">
        <v>104</v>
      </c>
      <c r="D277">
        <v>50</v>
      </c>
      <c r="E277">
        <v>73</v>
      </c>
    </row>
    <row r="278" spans="1:5" x14ac:dyDescent="0.45">
      <c r="A278" t="s">
        <v>281</v>
      </c>
      <c r="B278">
        <v>74</v>
      </c>
      <c r="C278">
        <v>99</v>
      </c>
      <c r="D278">
        <v>77</v>
      </c>
      <c r="E278">
        <v>83</v>
      </c>
    </row>
    <row r="279" spans="1:5" x14ac:dyDescent="0.45">
      <c r="A279" t="s">
        <v>282</v>
      </c>
      <c r="B279">
        <v>81</v>
      </c>
      <c r="C279">
        <v>104</v>
      </c>
      <c r="D279">
        <v>78</v>
      </c>
      <c r="E279">
        <v>83</v>
      </c>
    </row>
    <row r="280" spans="1:5" x14ac:dyDescent="0.45">
      <c r="A280" t="s">
        <v>283</v>
      </c>
      <c r="B280">
        <v>84</v>
      </c>
      <c r="C280">
        <v>108</v>
      </c>
      <c r="D280">
        <v>58</v>
      </c>
      <c r="E280">
        <v>64</v>
      </c>
    </row>
    <row r="281" spans="1:5" x14ac:dyDescent="0.45">
      <c r="A281" t="s">
        <v>284</v>
      </c>
      <c r="B281">
        <v>92</v>
      </c>
      <c r="C281">
        <v>130</v>
      </c>
      <c r="D281">
        <v>58</v>
      </c>
      <c r="E281">
        <v>75</v>
      </c>
    </row>
    <row r="282" spans="1:5" x14ac:dyDescent="0.45">
      <c r="A282" t="s">
        <v>285</v>
      </c>
      <c r="B282">
        <v>85</v>
      </c>
      <c r="C282">
        <v>109</v>
      </c>
      <c r="D282">
        <v>89</v>
      </c>
      <c r="E282">
        <v>73</v>
      </c>
    </row>
    <row r="283" spans="1:5" x14ac:dyDescent="0.45">
      <c r="A283" t="s">
        <v>286</v>
      </c>
      <c r="B283">
        <v>84</v>
      </c>
      <c r="C283">
        <v>106</v>
      </c>
      <c r="D283">
        <v>84</v>
      </c>
      <c r="E283">
        <v>80</v>
      </c>
    </row>
    <row r="284" spans="1:5" x14ac:dyDescent="0.45">
      <c r="A284" t="s">
        <v>287</v>
      </c>
      <c r="B284">
        <v>87</v>
      </c>
      <c r="C284">
        <v>125</v>
      </c>
      <c r="D284">
        <v>59</v>
      </c>
      <c r="E284">
        <v>67</v>
      </c>
    </row>
    <row r="285" spans="1:5" x14ac:dyDescent="0.45">
      <c r="A285" t="s">
        <v>288</v>
      </c>
      <c r="B285">
        <v>69</v>
      </c>
      <c r="C285">
        <v>84</v>
      </c>
      <c r="D285">
        <v>60</v>
      </c>
      <c r="E285">
        <v>58</v>
      </c>
    </row>
    <row r="286" spans="1:5" x14ac:dyDescent="0.45">
      <c r="A286" t="s">
        <v>289</v>
      </c>
      <c r="B286">
        <v>69</v>
      </c>
      <c r="C286">
        <v>89</v>
      </c>
      <c r="D286">
        <v>60</v>
      </c>
      <c r="E286">
        <v>67</v>
      </c>
    </row>
    <row r="287" spans="1:5" x14ac:dyDescent="0.45">
      <c r="A287" t="s">
        <v>290</v>
      </c>
      <c r="B287">
        <v>81</v>
      </c>
      <c r="C287">
        <v>109</v>
      </c>
      <c r="D287">
        <v>62</v>
      </c>
      <c r="E287">
        <v>75</v>
      </c>
    </row>
    <row r="288" spans="1:5" x14ac:dyDescent="0.45">
      <c r="A288" t="s">
        <v>291</v>
      </c>
      <c r="B288">
        <v>71</v>
      </c>
      <c r="C288">
        <v>121</v>
      </c>
      <c r="D288">
        <v>67</v>
      </c>
      <c r="E288">
        <v>55</v>
      </c>
    </row>
    <row r="289" spans="1:5" x14ac:dyDescent="0.45">
      <c r="A289" t="s">
        <v>292</v>
      </c>
      <c r="B289">
        <v>76</v>
      </c>
      <c r="C289">
        <v>102</v>
      </c>
      <c r="D289">
        <v>44</v>
      </c>
      <c r="E289">
        <v>73</v>
      </c>
    </row>
    <row r="290" spans="1:5" x14ac:dyDescent="0.45">
      <c r="A290" t="s">
        <v>293</v>
      </c>
      <c r="B290">
        <v>77</v>
      </c>
      <c r="C290">
        <v>111</v>
      </c>
      <c r="D290">
        <v>68</v>
      </c>
      <c r="E290">
        <v>60</v>
      </c>
    </row>
    <row r="291" spans="1:5" x14ac:dyDescent="0.45">
      <c r="A291" t="s">
        <v>294</v>
      </c>
      <c r="B291">
        <v>76</v>
      </c>
      <c r="C291">
        <v>106</v>
      </c>
      <c r="D291">
        <v>63</v>
      </c>
      <c r="E291">
        <v>54</v>
      </c>
    </row>
    <row r="292" spans="1:5" x14ac:dyDescent="0.45">
      <c r="A292" t="s">
        <v>295</v>
      </c>
      <c r="B292">
        <v>90</v>
      </c>
      <c r="C292">
        <v>107</v>
      </c>
      <c r="D292">
        <v>93</v>
      </c>
      <c r="E292">
        <v>75</v>
      </c>
    </row>
    <row r="293" spans="1:5" x14ac:dyDescent="0.45">
      <c r="A293" t="s">
        <v>296</v>
      </c>
      <c r="B293">
        <v>74</v>
      </c>
      <c r="C293">
        <v>97</v>
      </c>
      <c r="D293">
        <v>52</v>
      </c>
      <c r="E293">
        <v>58</v>
      </c>
    </row>
    <row r="294" spans="1:5" x14ac:dyDescent="0.45">
      <c r="A294" t="s">
        <v>297</v>
      </c>
      <c r="B294">
        <v>74</v>
      </c>
      <c r="C294">
        <v>133</v>
      </c>
      <c r="D294">
        <v>60</v>
      </c>
      <c r="E294">
        <v>50</v>
      </c>
    </row>
    <row r="295" spans="1:5" x14ac:dyDescent="0.45">
      <c r="A295" t="s">
        <v>298</v>
      </c>
      <c r="B295">
        <v>65</v>
      </c>
      <c r="C295">
        <v>96</v>
      </c>
      <c r="D295">
        <v>52</v>
      </c>
      <c r="E295">
        <v>74</v>
      </c>
    </row>
    <row r="296" spans="1:5" x14ac:dyDescent="0.45">
      <c r="A296" t="s">
        <v>299</v>
      </c>
      <c r="B296">
        <v>66</v>
      </c>
      <c r="C296">
        <v>97</v>
      </c>
      <c r="D296">
        <v>65</v>
      </c>
      <c r="E296">
        <v>81</v>
      </c>
    </row>
    <row r="297" spans="1:5" x14ac:dyDescent="0.45">
      <c r="A297" t="s">
        <v>300</v>
      </c>
      <c r="B297">
        <v>73</v>
      </c>
      <c r="C297">
        <v>116</v>
      </c>
      <c r="D297">
        <v>62</v>
      </c>
      <c r="E297">
        <v>45</v>
      </c>
    </row>
    <row r="298" spans="1:5" x14ac:dyDescent="0.45">
      <c r="A298" t="s">
        <v>301</v>
      </c>
      <c r="B298">
        <v>80</v>
      </c>
      <c r="C298">
        <v>108</v>
      </c>
      <c r="D298">
        <v>74</v>
      </c>
      <c r="E298">
        <v>92</v>
      </c>
    </row>
    <row r="299" spans="1:5" x14ac:dyDescent="0.45">
      <c r="A299" t="s">
        <v>302</v>
      </c>
      <c r="B299">
        <v>96</v>
      </c>
      <c r="C299">
        <v>102</v>
      </c>
      <c r="D299">
        <v>84</v>
      </c>
      <c r="E299">
        <v>84</v>
      </c>
    </row>
    <row r="300" spans="1:5" x14ac:dyDescent="0.45">
      <c r="A300" t="s">
        <v>303</v>
      </c>
      <c r="B300">
        <v>77</v>
      </c>
      <c r="C300">
        <v>94</v>
      </c>
      <c r="D300">
        <v>78</v>
      </c>
      <c r="E300">
        <v>79</v>
      </c>
    </row>
    <row r="301" spans="1:5" x14ac:dyDescent="0.45">
      <c r="A301" t="s">
        <v>304</v>
      </c>
      <c r="B301">
        <v>73</v>
      </c>
      <c r="C301">
        <v>98</v>
      </c>
      <c r="D301">
        <v>71</v>
      </c>
      <c r="E301">
        <v>68</v>
      </c>
    </row>
    <row r="302" spans="1:5" x14ac:dyDescent="0.45">
      <c r="A302" t="s">
        <v>305</v>
      </c>
      <c r="B302">
        <v>70</v>
      </c>
      <c r="C302">
        <v>87</v>
      </c>
      <c r="D302">
        <v>63</v>
      </c>
      <c r="E302">
        <v>62</v>
      </c>
    </row>
    <row r="303" spans="1:5" x14ac:dyDescent="0.45">
      <c r="A303" t="s">
        <v>306</v>
      </c>
      <c r="B303">
        <v>68</v>
      </c>
      <c r="C303">
        <v>104</v>
      </c>
      <c r="D303">
        <v>57</v>
      </c>
      <c r="E303">
        <v>53</v>
      </c>
    </row>
    <row r="304" spans="1:5" x14ac:dyDescent="0.45">
      <c r="A304" t="s">
        <v>307</v>
      </c>
      <c r="B304">
        <v>66</v>
      </c>
      <c r="C304">
        <v>85</v>
      </c>
      <c r="D304">
        <v>57</v>
      </c>
      <c r="E304">
        <v>51</v>
      </c>
    </row>
    <row r="305" spans="1:5" x14ac:dyDescent="0.45">
      <c r="A305" t="s">
        <v>308</v>
      </c>
      <c r="B305">
        <v>86</v>
      </c>
      <c r="C305">
        <v>145</v>
      </c>
      <c r="D305">
        <v>64</v>
      </c>
      <c r="E305">
        <v>74</v>
      </c>
    </row>
    <row r="306" spans="1:5" x14ac:dyDescent="0.45">
      <c r="A306" t="s">
        <v>309</v>
      </c>
      <c r="B306">
        <v>88</v>
      </c>
      <c r="C306">
        <v>105</v>
      </c>
      <c r="D306">
        <v>76</v>
      </c>
      <c r="E306">
        <v>90</v>
      </c>
    </row>
    <row r="307" spans="1:5" x14ac:dyDescent="0.45">
      <c r="A307" t="s">
        <v>310</v>
      </c>
      <c r="B307">
        <v>82</v>
      </c>
      <c r="C307">
        <v>96</v>
      </c>
      <c r="D307">
        <v>71</v>
      </c>
      <c r="E307">
        <v>63</v>
      </c>
    </row>
    <row r="308" spans="1:5" x14ac:dyDescent="0.45">
      <c r="A308" t="s">
        <v>311</v>
      </c>
      <c r="B308">
        <v>85</v>
      </c>
      <c r="C308">
        <v>103</v>
      </c>
      <c r="D308">
        <v>85</v>
      </c>
      <c r="E308">
        <v>81</v>
      </c>
    </row>
    <row r="309" spans="1:5" x14ac:dyDescent="0.45">
      <c r="A309" t="s">
        <v>312</v>
      </c>
      <c r="B309">
        <v>78</v>
      </c>
      <c r="C309">
        <v>115</v>
      </c>
      <c r="D309">
        <v>56</v>
      </c>
      <c r="E309">
        <v>75</v>
      </c>
    </row>
    <row r="310" spans="1:5" x14ac:dyDescent="0.45">
      <c r="A310" t="s">
        <v>313</v>
      </c>
      <c r="B310">
        <v>87</v>
      </c>
      <c r="C310">
        <v>135</v>
      </c>
      <c r="D310">
        <v>61</v>
      </c>
      <c r="E310">
        <v>61</v>
      </c>
    </row>
    <row r="311" spans="1:5" x14ac:dyDescent="0.45">
      <c r="A311" t="s">
        <v>314</v>
      </c>
      <c r="B311">
        <v>72</v>
      </c>
      <c r="C311">
        <v>104</v>
      </c>
      <c r="D311">
        <v>58</v>
      </c>
      <c r="E311">
        <v>53</v>
      </c>
    </row>
    <row r="312" spans="1:5" x14ac:dyDescent="0.45">
      <c r="A312" t="s">
        <v>315</v>
      </c>
      <c r="B312">
        <v>87</v>
      </c>
      <c r="C312">
        <v>126</v>
      </c>
      <c r="D312">
        <v>83</v>
      </c>
      <c r="E312">
        <v>59</v>
      </c>
    </row>
    <row r="313" spans="1:5" x14ac:dyDescent="0.45">
      <c r="A313" t="s">
        <v>316</v>
      </c>
      <c r="B313">
        <v>81</v>
      </c>
      <c r="C313">
        <v>121</v>
      </c>
      <c r="D313">
        <v>70</v>
      </c>
      <c r="E313">
        <v>81</v>
      </c>
    </row>
    <row r="314" spans="1:5" x14ac:dyDescent="0.45">
      <c r="A314" t="s">
        <v>317</v>
      </c>
      <c r="B314">
        <v>83</v>
      </c>
      <c r="C314">
        <v>106</v>
      </c>
      <c r="D314">
        <v>72</v>
      </c>
      <c r="E314">
        <v>88</v>
      </c>
    </row>
    <row r="315" spans="1:5" x14ac:dyDescent="0.45">
      <c r="A315" t="s">
        <v>318</v>
      </c>
      <c r="B315">
        <v>87</v>
      </c>
      <c r="C315">
        <v>107</v>
      </c>
      <c r="D315">
        <v>93</v>
      </c>
      <c r="E315">
        <v>72</v>
      </c>
    </row>
    <row r="316" spans="1:5" x14ac:dyDescent="0.45">
      <c r="A316" t="s">
        <v>319</v>
      </c>
      <c r="B316">
        <v>63</v>
      </c>
      <c r="C316">
        <v>102</v>
      </c>
      <c r="D316">
        <v>47</v>
      </c>
      <c r="E316">
        <v>64</v>
      </c>
    </row>
    <row r="317" spans="1:5" x14ac:dyDescent="0.45">
      <c r="A317" t="s">
        <v>320</v>
      </c>
      <c r="B317">
        <v>80</v>
      </c>
      <c r="C317">
        <v>85</v>
      </c>
      <c r="D317">
        <v>64</v>
      </c>
      <c r="E317">
        <v>81</v>
      </c>
    </row>
    <row r="318" spans="1:5" x14ac:dyDescent="0.45">
      <c r="A318" t="s">
        <v>321</v>
      </c>
      <c r="B318">
        <v>99</v>
      </c>
      <c r="C318">
        <v>143</v>
      </c>
      <c r="D318">
        <v>97</v>
      </c>
      <c r="E318">
        <v>79</v>
      </c>
    </row>
    <row r="319" spans="1:5" x14ac:dyDescent="0.45">
      <c r="A319" t="s">
        <v>322</v>
      </c>
      <c r="B319">
        <v>79</v>
      </c>
      <c r="C319">
        <v>110</v>
      </c>
      <c r="D319">
        <v>73</v>
      </c>
      <c r="E319">
        <v>57</v>
      </c>
    </row>
    <row r="320" spans="1:5" x14ac:dyDescent="0.45">
      <c r="A320" t="s">
        <v>323</v>
      </c>
      <c r="B320">
        <v>71</v>
      </c>
      <c r="C320">
        <v>128</v>
      </c>
      <c r="D320">
        <v>41</v>
      </c>
      <c r="E320">
        <v>48</v>
      </c>
    </row>
    <row r="321" spans="1:5" x14ac:dyDescent="0.45">
      <c r="A321" t="s">
        <v>324</v>
      </c>
      <c r="B321">
        <v>82</v>
      </c>
      <c r="C321">
        <v>104</v>
      </c>
      <c r="D321">
        <v>78</v>
      </c>
      <c r="E321">
        <v>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1"/>
  <sheetViews>
    <sheetView topLeftCell="A9" workbookViewId="0">
      <selection activeCell="I54" sqref="I54"/>
    </sheetView>
  </sheetViews>
  <sheetFormatPr defaultRowHeight="14.25" x14ac:dyDescent="0.45"/>
  <cols>
    <col min="3" max="3" width="11.06640625" customWidth="1"/>
    <col min="4" max="4" width="16.1328125" customWidth="1"/>
    <col min="5" max="6" width="11.19921875" customWidth="1"/>
    <col min="7" max="7" width="13.265625" customWidth="1"/>
    <col min="8" max="8" width="11.265625" customWidth="1"/>
    <col min="9" max="10" width="12.3984375" customWidth="1"/>
  </cols>
  <sheetData>
    <row r="1" spans="1:16" x14ac:dyDescent="0.45">
      <c r="A1" s="1" t="s">
        <v>1</v>
      </c>
      <c r="B1" s="1" t="s">
        <v>2</v>
      </c>
      <c r="C1" s="1" t="s">
        <v>3</v>
      </c>
      <c r="D1" s="1" t="s">
        <v>4</v>
      </c>
      <c r="E1" s="3"/>
      <c r="F1" s="3"/>
      <c r="G1" s="5" t="s">
        <v>1</v>
      </c>
      <c r="H1" s="5"/>
      <c r="I1" s="5" t="s">
        <v>2</v>
      </c>
      <c r="J1" s="5"/>
      <c r="K1" s="5" t="s">
        <v>3</v>
      </c>
      <c r="L1" s="5"/>
      <c r="M1" s="5" t="s">
        <v>4</v>
      </c>
      <c r="N1" s="5"/>
      <c r="O1" s="5"/>
    </row>
    <row r="2" spans="1:16" x14ac:dyDescent="0.45">
      <c r="A2">
        <v>85</v>
      </c>
      <c r="B2">
        <v>109</v>
      </c>
      <c r="C2">
        <v>89</v>
      </c>
      <c r="D2">
        <v>73</v>
      </c>
      <c r="E2" s="3"/>
      <c r="F2" s="3" t="s">
        <v>325</v>
      </c>
      <c r="G2" s="4">
        <f>MIN(A2:A321)</f>
        <v>62</v>
      </c>
      <c r="H2" s="4" t="s">
        <v>350</v>
      </c>
      <c r="I2" s="4">
        <f>MIN(B2:B321)</f>
        <v>73</v>
      </c>
      <c r="J2" s="4" t="s">
        <v>350</v>
      </c>
      <c r="K2" s="4">
        <f>MIN(C2:C321)</f>
        <v>32</v>
      </c>
      <c r="L2" s="4"/>
      <c r="M2" s="4">
        <f t="shared" ref="M2" si="0">MIN(D2:D321)</f>
        <v>44</v>
      </c>
      <c r="N2" s="4"/>
      <c r="O2" s="4"/>
      <c r="P2" s="4"/>
    </row>
    <row r="3" spans="1:16" x14ac:dyDescent="0.45">
      <c r="A3">
        <v>84</v>
      </c>
      <c r="B3">
        <v>106</v>
      </c>
      <c r="C3">
        <v>84</v>
      </c>
      <c r="D3">
        <v>80</v>
      </c>
      <c r="F3" s="3" t="s">
        <v>326</v>
      </c>
      <c r="G3" s="4">
        <f>QUARTILE(A2:A321,1)</f>
        <v>72</v>
      </c>
      <c r="H3" s="4" t="s">
        <v>351</v>
      </c>
      <c r="I3" s="4">
        <f>QUARTILE(B2:B321,1)</f>
        <v>97.75</v>
      </c>
      <c r="J3" s="4" t="s">
        <v>428</v>
      </c>
      <c r="K3" s="4">
        <f>QUARTILE(C2:C321,1)</f>
        <v>58</v>
      </c>
      <c r="L3" s="4"/>
      <c r="M3" s="4">
        <f>QUARTILE(D2:D321,1)</f>
        <v>58</v>
      </c>
      <c r="N3" s="4"/>
      <c r="O3" s="4"/>
    </row>
    <row r="4" spans="1:16" x14ac:dyDescent="0.45">
      <c r="A4">
        <v>87</v>
      </c>
      <c r="B4">
        <v>125</v>
      </c>
      <c r="C4">
        <v>59</v>
      </c>
      <c r="D4">
        <v>67</v>
      </c>
      <c r="E4" s="3"/>
      <c r="F4" s="3" t="s">
        <v>424</v>
      </c>
      <c r="G4" s="4">
        <f>MEDIAN(A2:A321)</f>
        <v>78.5</v>
      </c>
      <c r="H4" s="4" t="s">
        <v>352</v>
      </c>
      <c r="I4" s="4">
        <f>QUARTILE(B2:B321,2)</f>
        <v>106</v>
      </c>
      <c r="J4" s="4" t="s">
        <v>429</v>
      </c>
      <c r="K4" s="4">
        <f>QUARTILE(C2:C321,2)</f>
        <v>65</v>
      </c>
      <c r="L4" s="4"/>
      <c r="M4" s="4">
        <f>QUARTILE(D2:D321,2)</f>
        <v>67.5</v>
      </c>
      <c r="N4" s="4"/>
      <c r="O4" s="4"/>
    </row>
    <row r="5" spans="1:16" x14ac:dyDescent="0.45">
      <c r="A5">
        <v>69</v>
      </c>
      <c r="B5">
        <v>84</v>
      </c>
      <c r="C5">
        <v>60</v>
      </c>
      <c r="D5">
        <v>58</v>
      </c>
      <c r="E5" s="3"/>
      <c r="F5" s="3" t="s">
        <v>426</v>
      </c>
      <c r="G5" s="4">
        <f>QUARTILE(A2:A321,3)</f>
        <v>84</v>
      </c>
      <c r="H5" s="4" t="s">
        <v>353</v>
      </c>
      <c r="I5" s="4">
        <f>QUARTILE(B2:B321,3)</f>
        <v>113</v>
      </c>
      <c r="J5" s="4" t="s">
        <v>430</v>
      </c>
      <c r="K5" s="4">
        <f>QUARTILE(C2:C321,3)</f>
        <v>76</v>
      </c>
      <c r="L5" s="4"/>
      <c r="M5" s="4">
        <f>QUARTILE(D2:D321,3)</f>
        <v>78</v>
      </c>
      <c r="N5" s="4"/>
      <c r="O5" s="4"/>
    </row>
    <row r="6" spans="1:16" x14ac:dyDescent="0.45">
      <c r="A6">
        <v>69</v>
      </c>
      <c r="B6">
        <v>89</v>
      </c>
      <c r="C6">
        <v>60</v>
      </c>
      <c r="D6">
        <v>67</v>
      </c>
      <c r="E6" s="3"/>
      <c r="F6" s="3"/>
      <c r="G6" s="4"/>
      <c r="H6" s="4"/>
      <c r="I6" s="4"/>
      <c r="J6" s="4"/>
      <c r="K6" s="4"/>
      <c r="L6" s="4"/>
      <c r="M6" s="4"/>
      <c r="N6" s="4"/>
      <c r="O6" s="4"/>
    </row>
    <row r="7" spans="1:16" x14ac:dyDescent="0.45">
      <c r="A7">
        <v>81</v>
      </c>
      <c r="B7">
        <v>109</v>
      </c>
      <c r="C7">
        <v>62</v>
      </c>
      <c r="D7">
        <v>75</v>
      </c>
      <c r="E7" s="3"/>
      <c r="F7" s="3" t="s">
        <v>425</v>
      </c>
      <c r="G7" s="4">
        <f>QUARTILE(A2:A321,4)</f>
        <v>99</v>
      </c>
      <c r="H7" s="4" t="s">
        <v>354</v>
      </c>
      <c r="I7" s="4">
        <f>MAX(B2:B321)</f>
        <v>145</v>
      </c>
      <c r="J7" s="4" t="s">
        <v>431</v>
      </c>
      <c r="K7" s="4">
        <f>MAX(C2:C321)</f>
        <v>97</v>
      </c>
      <c r="L7" s="4"/>
      <c r="M7" s="4">
        <f>MAX(D2:D321)</f>
        <v>93</v>
      </c>
      <c r="N7" s="4"/>
      <c r="O7" s="4"/>
    </row>
    <row r="8" spans="1:16" x14ac:dyDescent="0.45">
      <c r="A8">
        <v>71</v>
      </c>
      <c r="B8">
        <v>121</v>
      </c>
      <c r="C8">
        <v>67</v>
      </c>
      <c r="D8">
        <v>55</v>
      </c>
      <c r="E8" s="3"/>
      <c r="F8" s="3" t="s">
        <v>427</v>
      </c>
      <c r="G8" s="4">
        <f>AVERAGE(A2:A321)</f>
        <v>78.193749999999994</v>
      </c>
      <c r="H8" s="4" t="s">
        <v>355</v>
      </c>
      <c r="I8" s="4">
        <f>AVERAGE(B2:B321)</f>
        <v>106.99375000000001</v>
      </c>
      <c r="J8" s="4" t="s">
        <v>432</v>
      </c>
      <c r="K8" s="4">
        <f>AVERAGE(C2:C321)</f>
        <v>67.168750000000003</v>
      </c>
      <c r="L8" s="4"/>
      <c r="M8" s="4">
        <f>AVERAGE(D2:D321)</f>
        <v>67.743750000000006</v>
      </c>
      <c r="N8" s="4"/>
      <c r="O8" s="4"/>
    </row>
    <row r="9" spans="1:16" x14ac:dyDescent="0.45">
      <c r="A9">
        <v>76</v>
      </c>
      <c r="B9">
        <v>102</v>
      </c>
      <c r="C9">
        <v>44</v>
      </c>
      <c r="D9">
        <v>73</v>
      </c>
      <c r="E9" s="3"/>
      <c r="F9" s="3" t="s">
        <v>327</v>
      </c>
      <c r="G9" s="4">
        <f>MODE(A2:A321)</f>
        <v>81</v>
      </c>
      <c r="H9" s="4" t="s">
        <v>356</v>
      </c>
      <c r="I9" s="4">
        <f>MODE(B2:B321)</f>
        <v>104</v>
      </c>
      <c r="J9" s="4" t="s">
        <v>433</v>
      </c>
      <c r="K9" s="4">
        <f>MODE(C2:C321)</f>
        <v>60</v>
      </c>
      <c r="L9" s="4"/>
      <c r="M9" s="4">
        <f>MODE(D2:D321)</f>
        <v>81</v>
      </c>
      <c r="N9" s="4"/>
      <c r="O9" s="4"/>
    </row>
    <row r="10" spans="1:16" x14ac:dyDescent="0.45">
      <c r="A10">
        <v>77</v>
      </c>
      <c r="B10">
        <v>111</v>
      </c>
      <c r="C10">
        <v>68</v>
      </c>
      <c r="D10">
        <v>60</v>
      </c>
      <c r="E10" s="3"/>
      <c r="F10" s="3" t="s">
        <v>328</v>
      </c>
      <c r="G10" s="4">
        <f>G7-G2</f>
        <v>37</v>
      </c>
      <c r="H10" s="4" t="s">
        <v>357</v>
      </c>
      <c r="I10" s="4">
        <f>I7-I2</f>
        <v>72</v>
      </c>
      <c r="J10" s="4" t="s">
        <v>357</v>
      </c>
      <c r="K10" s="4">
        <f>K7-K2</f>
        <v>65</v>
      </c>
      <c r="L10" s="4"/>
      <c r="M10" s="4">
        <f>M7-M2</f>
        <v>49</v>
      </c>
      <c r="N10" s="4"/>
      <c r="O10" s="4"/>
    </row>
    <row r="11" spans="1:16" x14ac:dyDescent="0.45">
      <c r="A11">
        <v>76</v>
      </c>
      <c r="B11">
        <v>106</v>
      </c>
      <c r="C11">
        <v>63</v>
      </c>
      <c r="D11">
        <v>54</v>
      </c>
      <c r="E11" s="3"/>
      <c r="F11" s="3"/>
      <c r="G11" s="3"/>
      <c r="H11" s="3"/>
      <c r="I11" s="3"/>
      <c r="J11" s="3"/>
      <c r="K11" s="4"/>
      <c r="L11" s="4"/>
      <c r="M11" s="4"/>
      <c r="N11" s="3"/>
      <c r="O11" s="3"/>
    </row>
    <row r="12" spans="1:16" x14ac:dyDescent="0.45">
      <c r="A12">
        <v>90</v>
      </c>
      <c r="B12">
        <v>107</v>
      </c>
      <c r="C12">
        <v>93</v>
      </c>
      <c r="D12">
        <v>75</v>
      </c>
      <c r="E12" s="3"/>
      <c r="F12" s="3" t="s">
        <v>329</v>
      </c>
      <c r="G12" s="3">
        <f>VAR(A2:A321)</f>
        <v>65.510932601881024</v>
      </c>
      <c r="H12" s="3" t="s">
        <v>358</v>
      </c>
      <c r="I12" s="3">
        <f>VAR(B2:B321)</f>
        <v>207.73036833855741</v>
      </c>
      <c r="J12" s="3" t="s">
        <v>358</v>
      </c>
      <c r="K12" s="3">
        <f>VAR(C2:C321)</f>
        <v>181.53256269592461</v>
      </c>
      <c r="L12" s="3"/>
      <c r="M12" s="3">
        <f>VAR(D2:D321)</f>
        <v>150.61124608150485</v>
      </c>
      <c r="N12" s="3"/>
      <c r="O12" s="3"/>
    </row>
    <row r="13" spans="1:16" x14ac:dyDescent="0.45">
      <c r="A13">
        <v>74</v>
      </c>
      <c r="B13">
        <v>97</v>
      </c>
      <c r="C13">
        <v>52</v>
      </c>
      <c r="D13">
        <v>58</v>
      </c>
      <c r="F13" s="3" t="s">
        <v>330</v>
      </c>
      <c r="G13" s="2">
        <f>STDEV(A2:A321)</f>
        <v>8.0938824183380014</v>
      </c>
      <c r="H13" s="3" t="s">
        <v>358</v>
      </c>
      <c r="I13" s="2">
        <f>STDEV(B2:B321)</f>
        <v>14.412854274520276</v>
      </c>
      <c r="J13" s="3" t="s">
        <v>358</v>
      </c>
      <c r="K13">
        <f>STDEV(C2:C321)</f>
        <v>13.473402046102708</v>
      </c>
      <c r="M13">
        <f>STDEV(D2:D321)</f>
        <v>12.272377360621896</v>
      </c>
    </row>
    <row r="14" spans="1:16" x14ac:dyDescent="0.45">
      <c r="A14">
        <v>74</v>
      </c>
      <c r="B14">
        <v>133</v>
      </c>
      <c r="C14">
        <v>60</v>
      </c>
      <c r="D14">
        <v>50</v>
      </c>
      <c r="E14" s="3"/>
      <c r="G14" s="2"/>
      <c r="H14" s="2"/>
      <c r="I14" s="2"/>
      <c r="J14" s="2"/>
      <c r="K14" s="4"/>
      <c r="L14" s="4"/>
      <c r="M14" s="4"/>
      <c r="N14" s="2"/>
      <c r="O14" s="2"/>
    </row>
    <row r="15" spans="1:16" x14ac:dyDescent="0.45">
      <c r="A15">
        <v>65</v>
      </c>
      <c r="B15">
        <v>96</v>
      </c>
      <c r="C15">
        <v>52</v>
      </c>
      <c r="D15">
        <v>74</v>
      </c>
      <c r="E15" s="3"/>
      <c r="F15" s="3" t="s">
        <v>348</v>
      </c>
      <c r="G15" s="2">
        <f>KURT(A2:A321)</f>
        <v>-0.30079031233807996</v>
      </c>
      <c r="H15" s="2" t="s">
        <v>359</v>
      </c>
      <c r="I15" s="2">
        <f>KURT(B2:B321)</f>
        <v>0.404160014883439</v>
      </c>
      <c r="J15" s="2" t="s">
        <v>434</v>
      </c>
      <c r="K15" s="2">
        <f>KURT(C2:C321)</f>
        <v>-0.1753094775769708</v>
      </c>
      <c r="L15" s="2"/>
      <c r="M15" s="2">
        <f>KURT(D2:D321)</f>
        <v>-0.91323332387591538</v>
      </c>
      <c r="N15" s="2"/>
      <c r="O15" s="2"/>
    </row>
    <row r="16" spans="1:16" x14ac:dyDescent="0.45">
      <c r="A16">
        <v>66</v>
      </c>
      <c r="B16">
        <v>97</v>
      </c>
      <c r="C16">
        <v>65</v>
      </c>
      <c r="D16">
        <v>81</v>
      </c>
      <c r="F16" s="3" t="s">
        <v>349</v>
      </c>
      <c r="G16" s="3">
        <f>SKEW(A2:A321)</f>
        <v>0.17860045778809552</v>
      </c>
      <c r="H16" s="2" t="s">
        <v>360</v>
      </c>
      <c r="I16" s="2">
        <f>SKEW(B2:B321)</f>
        <v>0.55568159060752498</v>
      </c>
      <c r="J16" s="2" t="s">
        <v>360</v>
      </c>
      <c r="K16" s="2">
        <f>SKEW(C2:C321)</f>
        <v>0.13700604572549283</v>
      </c>
      <c r="M16" s="2">
        <f>SKEW(D2:D321)</f>
        <v>7.6011005481478627E-2</v>
      </c>
    </row>
    <row r="17" spans="1:11" x14ac:dyDescent="0.45">
      <c r="A17">
        <v>73</v>
      </c>
      <c r="B17">
        <v>116</v>
      </c>
      <c r="C17">
        <v>62</v>
      </c>
      <c r="D17">
        <v>45</v>
      </c>
    </row>
    <row r="18" spans="1:11" x14ac:dyDescent="0.45">
      <c r="A18">
        <v>80</v>
      </c>
      <c r="B18">
        <v>108</v>
      </c>
      <c r="C18">
        <v>74</v>
      </c>
      <c r="D18">
        <v>92</v>
      </c>
    </row>
    <row r="19" spans="1:11" x14ac:dyDescent="0.45">
      <c r="A19">
        <v>96</v>
      </c>
      <c r="B19">
        <v>102</v>
      </c>
      <c r="C19">
        <v>84</v>
      </c>
      <c r="D19">
        <v>84</v>
      </c>
    </row>
    <row r="20" spans="1:11" x14ac:dyDescent="0.45">
      <c r="A20">
        <v>77</v>
      </c>
      <c r="B20">
        <v>94</v>
      </c>
      <c r="C20">
        <v>78</v>
      </c>
      <c r="D20">
        <v>79</v>
      </c>
      <c r="F20" t="s">
        <v>435</v>
      </c>
      <c r="H20" t="s">
        <v>437</v>
      </c>
      <c r="I20" s="4"/>
    </row>
    <row r="21" spans="1:11" x14ac:dyDescent="0.45">
      <c r="A21">
        <v>73</v>
      </c>
      <c r="B21">
        <v>98</v>
      </c>
      <c r="C21">
        <v>71</v>
      </c>
      <c r="D21">
        <v>68</v>
      </c>
      <c r="H21" t="s">
        <v>438</v>
      </c>
      <c r="I21" s="4"/>
    </row>
    <row r="22" spans="1:11" x14ac:dyDescent="0.45">
      <c r="A22">
        <v>70</v>
      </c>
      <c r="B22">
        <v>87</v>
      </c>
      <c r="C22">
        <v>63</v>
      </c>
      <c r="D22">
        <v>62</v>
      </c>
      <c r="F22" t="s">
        <v>436</v>
      </c>
      <c r="H22" t="s">
        <v>439</v>
      </c>
      <c r="I22" s="4"/>
      <c r="J22" s="4"/>
    </row>
    <row r="23" spans="1:11" x14ac:dyDescent="0.45">
      <c r="A23">
        <v>68</v>
      </c>
      <c r="B23">
        <v>104</v>
      </c>
      <c r="C23">
        <v>57</v>
      </c>
      <c r="D23">
        <v>53</v>
      </c>
      <c r="H23" t="s">
        <v>440</v>
      </c>
      <c r="I23" s="4"/>
      <c r="J23" s="4"/>
    </row>
    <row r="24" spans="1:11" x14ac:dyDescent="0.45">
      <c r="A24">
        <v>66</v>
      </c>
      <c r="B24">
        <v>85</v>
      </c>
      <c r="C24">
        <v>57</v>
      </c>
      <c r="D24">
        <v>51</v>
      </c>
      <c r="H24" t="s">
        <v>441</v>
      </c>
      <c r="I24" s="4"/>
    </row>
    <row r="25" spans="1:11" x14ac:dyDescent="0.45">
      <c r="A25">
        <v>86</v>
      </c>
      <c r="B25">
        <v>145</v>
      </c>
      <c r="C25">
        <v>64</v>
      </c>
      <c r="D25">
        <v>74</v>
      </c>
      <c r="H25" t="s">
        <v>442</v>
      </c>
      <c r="I25" s="4"/>
      <c r="J25" s="4"/>
    </row>
    <row r="26" spans="1:11" x14ac:dyDescent="0.45">
      <c r="A26">
        <v>88</v>
      </c>
      <c r="B26">
        <v>105</v>
      </c>
      <c r="C26">
        <v>76</v>
      </c>
      <c r="D26">
        <v>90</v>
      </c>
      <c r="H26" t="s">
        <v>443</v>
      </c>
      <c r="I26" s="4"/>
    </row>
    <row r="27" spans="1:11" x14ac:dyDescent="0.45">
      <c r="A27">
        <v>82</v>
      </c>
      <c r="B27">
        <v>96</v>
      </c>
      <c r="C27">
        <v>71</v>
      </c>
      <c r="D27">
        <v>63</v>
      </c>
      <c r="H27" t="s">
        <v>444</v>
      </c>
      <c r="I27" s="4"/>
      <c r="J27" s="4"/>
    </row>
    <row r="28" spans="1:11" x14ac:dyDescent="0.45">
      <c r="A28">
        <v>85</v>
      </c>
      <c r="B28">
        <v>103</v>
      </c>
      <c r="C28">
        <v>85</v>
      </c>
      <c r="D28">
        <v>81</v>
      </c>
      <c r="I28" s="4"/>
      <c r="J28" s="4"/>
    </row>
    <row r="29" spans="1:11" ht="14.65" thickBot="1" x14ac:dyDescent="0.5">
      <c r="A29">
        <v>78</v>
      </c>
      <c r="B29">
        <v>115</v>
      </c>
      <c r="C29">
        <v>56</v>
      </c>
      <c r="D29">
        <v>75</v>
      </c>
      <c r="I29" s="3"/>
      <c r="J29" s="4"/>
    </row>
    <row r="30" spans="1:11" x14ac:dyDescent="0.45">
      <c r="A30">
        <v>87</v>
      </c>
      <c r="B30">
        <v>135</v>
      </c>
      <c r="C30">
        <v>61</v>
      </c>
      <c r="D30">
        <v>61</v>
      </c>
      <c r="G30" s="10"/>
      <c r="H30" s="10" t="s">
        <v>1</v>
      </c>
      <c r="I30" s="10" t="s">
        <v>2</v>
      </c>
      <c r="J30" s="10" t="s">
        <v>3</v>
      </c>
      <c r="K30" s="10" t="s">
        <v>4</v>
      </c>
    </row>
    <row r="31" spans="1:11" x14ac:dyDescent="0.45">
      <c r="A31">
        <v>72</v>
      </c>
      <c r="B31">
        <v>104</v>
      </c>
      <c r="C31">
        <v>58</v>
      </c>
      <c r="D31">
        <v>53</v>
      </c>
      <c r="G31" s="8" t="s">
        <v>1</v>
      </c>
      <c r="H31" s="11">
        <v>1</v>
      </c>
      <c r="I31" s="11"/>
      <c r="J31" s="11"/>
      <c r="K31" s="11"/>
    </row>
    <row r="32" spans="1:11" x14ac:dyDescent="0.45">
      <c r="A32">
        <v>87</v>
      </c>
      <c r="B32">
        <v>126</v>
      </c>
      <c r="C32">
        <v>83</v>
      </c>
      <c r="D32">
        <v>59</v>
      </c>
      <c r="G32" s="8" t="s">
        <v>2</v>
      </c>
      <c r="H32" s="11">
        <v>0.47156291774824538</v>
      </c>
      <c r="I32" s="11">
        <v>1</v>
      </c>
      <c r="J32" s="11"/>
      <c r="K32" s="11"/>
    </row>
    <row r="33" spans="1:11" x14ac:dyDescent="0.45">
      <c r="A33">
        <v>81</v>
      </c>
      <c r="B33">
        <v>121</v>
      </c>
      <c r="C33">
        <v>70</v>
      </c>
      <c r="D33">
        <v>81</v>
      </c>
      <c r="G33" s="8" t="s">
        <v>3</v>
      </c>
      <c r="H33" s="11">
        <v>0.65964647324908332</v>
      </c>
      <c r="I33" s="11">
        <v>6.7515133070431069E-2</v>
      </c>
      <c r="J33" s="11">
        <v>1</v>
      </c>
      <c r="K33" s="11"/>
    </row>
    <row r="34" spans="1:11" ht="14.65" thickBot="1" x14ac:dyDescent="0.5">
      <c r="A34">
        <v>83</v>
      </c>
      <c r="B34">
        <v>106</v>
      </c>
      <c r="C34">
        <v>72</v>
      </c>
      <c r="D34">
        <v>88</v>
      </c>
      <c r="G34" s="9" t="s">
        <v>4</v>
      </c>
      <c r="H34" s="12">
        <v>0.41689131160495685</v>
      </c>
      <c r="I34" s="12">
        <v>-8.8658178220298769E-2</v>
      </c>
      <c r="J34" s="12">
        <v>0.38193430961873676</v>
      </c>
      <c r="K34" s="12">
        <v>1</v>
      </c>
    </row>
    <row r="35" spans="1:11" x14ac:dyDescent="0.45">
      <c r="A35">
        <v>87</v>
      </c>
      <c r="B35">
        <v>107</v>
      </c>
      <c r="C35">
        <v>93</v>
      </c>
      <c r="D35">
        <v>72</v>
      </c>
    </row>
    <row r="36" spans="1:11" x14ac:dyDescent="0.45">
      <c r="A36">
        <v>63</v>
      </c>
      <c r="B36">
        <v>102</v>
      </c>
      <c r="C36">
        <v>47</v>
      </c>
      <c r="D36">
        <v>64</v>
      </c>
      <c r="H36" t="s">
        <v>445</v>
      </c>
    </row>
    <row r="37" spans="1:11" x14ac:dyDescent="0.45">
      <c r="A37">
        <v>80</v>
      </c>
      <c r="B37">
        <v>85</v>
      </c>
      <c r="C37">
        <v>64</v>
      </c>
      <c r="D37">
        <v>81</v>
      </c>
    </row>
    <row r="38" spans="1:11" x14ac:dyDescent="0.45">
      <c r="A38">
        <v>99</v>
      </c>
      <c r="B38">
        <v>143</v>
      </c>
      <c r="C38">
        <v>97</v>
      </c>
      <c r="D38">
        <v>79</v>
      </c>
    </row>
    <row r="39" spans="1:11" x14ac:dyDescent="0.45">
      <c r="A39">
        <v>79</v>
      </c>
      <c r="B39">
        <v>110</v>
      </c>
      <c r="C39">
        <v>73</v>
      </c>
      <c r="D39">
        <v>57</v>
      </c>
    </row>
    <row r="40" spans="1:11" x14ac:dyDescent="0.45">
      <c r="A40">
        <v>71</v>
      </c>
      <c r="B40">
        <v>128</v>
      </c>
      <c r="C40">
        <v>41</v>
      </c>
      <c r="D40">
        <v>48</v>
      </c>
    </row>
    <row r="41" spans="1:11" x14ac:dyDescent="0.45">
      <c r="A41">
        <v>82</v>
      </c>
      <c r="B41">
        <v>104</v>
      </c>
      <c r="C41">
        <v>78</v>
      </c>
      <c r="D41">
        <v>53</v>
      </c>
    </row>
    <row r="42" spans="1:11" x14ac:dyDescent="0.45">
      <c r="A42">
        <v>85</v>
      </c>
      <c r="B42">
        <v>101</v>
      </c>
      <c r="C42">
        <v>87</v>
      </c>
      <c r="D42">
        <v>65</v>
      </c>
    </row>
    <row r="43" spans="1:11" x14ac:dyDescent="0.45">
      <c r="A43">
        <v>75</v>
      </c>
      <c r="B43">
        <v>94</v>
      </c>
      <c r="C43">
        <v>54</v>
      </c>
      <c r="D43">
        <v>60</v>
      </c>
    </row>
    <row r="44" spans="1:11" x14ac:dyDescent="0.45">
      <c r="A44">
        <v>81</v>
      </c>
      <c r="B44">
        <v>106</v>
      </c>
      <c r="C44">
        <v>72</v>
      </c>
      <c r="D44">
        <v>55</v>
      </c>
    </row>
    <row r="45" spans="1:11" x14ac:dyDescent="0.45">
      <c r="A45">
        <v>68</v>
      </c>
      <c r="B45">
        <v>102</v>
      </c>
      <c r="C45">
        <v>32</v>
      </c>
      <c r="D45">
        <v>69</v>
      </c>
    </row>
    <row r="46" spans="1:11" x14ac:dyDescent="0.45">
      <c r="A46">
        <v>81</v>
      </c>
      <c r="B46">
        <v>98</v>
      </c>
      <c r="C46">
        <v>72</v>
      </c>
      <c r="D46">
        <v>69</v>
      </c>
    </row>
    <row r="47" spans="1:11" x14ac:dyDescent="0.45">
      <c r="A47">
        <v>80</v>
      </c>
      <c r="B47">
        <v>112</v>
      </c>
      <c r="C47">
        <v>72</v>
      </c>
      <c r="D47">
        <v>78</v>
      </c>
    </row>
    <row r="48" spans="1:11" x14ac:dyDescent="0.45">
      <c r="A48">
        <v>78</v>
      </c>
      <c r="B48">
        <v>87</v>
      </c>
      <c r="C48">
        <v>74</v>
      </c>
      <c r="D48">
        <v>93</v>
      </c>
    </row>
    <row r="49" spans="1:4" x14ac:dyDescent="0.45">
      <c r="A49">
        <v>62</v>
      </c>
      <c r="B49">
        <v>73</v>
      </c>
      <c r="C49">
        <v>68</v>
      </c>
      <c r="D49">
        <v>67</v>
      </c>
    </row>
    <row r="50" spans="1:4" x14ac:dyDescent="0.45">
      <c r="A50">
        <v>81</v>
      </c>
      <c r="B50">
        <v>94</v>
      </c>
      <c r="C50">
        <v>67</v>
      </c>
      <c r="D50">
        <v>59</v>
      </c>
    </row>
    <row r="51" spans="1:4" x14ac:dyDescent="0.45">
      <c r="A51">
        <v>76</v>
      </c>
      <c r="B51">
        <v>117</v>
      </c>
      <c r="C51">
        <v>66</v>
      </c>
      <c r="D51">
        <v>68</v>
      </c>
    </row>
    <row r="52" spans="1:4" x14ac:dyDescent="0.45">
      <c r="A52">
        <v>77</v>
      </c>
      <c r="B52">
        <v>112</v>
      </c>
      <c r="C52">
        <v>58</v>
      </c>
      <c r="D52">
        <v>57</v>
      </c>
    </row>
    <row r="53" spans="1:4" x14ac:dyDescent="0.45">
      <c r="A53">
        <v>74</v>
      </c>
      <c r="B53">
        <v>113</v>
      </c>
      <c r="C53">
        <v>57</v>
      </c>
      <c r="D53">
        <v>76</v>
      </c>
    </row>
    <row r="54" spans="1:4" x14ac:dyDescent="0.45">
      <c r="A54">
        <v>69</v>
      </c>
      <c r="B54">
        <v>94</v>
      </c>
      <c r="C54">
        <v>65</v>
      </c>
      <c r="D54">
        <v>53</v>
      </c>
    </row>
    <row r="55" spans="1:4" x14ac:dyDescent="0.45">
      <c r="A55">
        <v>68</v>
      </c>
      <c r="B55">
        <v>119</v>
      </c>
      <c r="C55">
        <v>48</v>
      </c>
      <c r="D55">
        <v>44</v>
      </c>
    </row>
    <row r="56" spans="1:4" x14ac:dyDescent="0.45">
      <c r="A56">
        <v>85</v>
      </c>
      <c r="B56">
        <v>111</v>
      </c>
      <c r="C56">
        <v>91</v>
      </c>
      <c r="D56">
        <v>59</v>
      </c>
    </row>
    <row r="57" spans="1:4" x14ac:dyDescent="0.45">
      <c r="A57">
        <v>79</v>
      </c>
      <c r="B57">
        <v>104</v>
      </c>
      <c r="C57">
        <v>50</v>
      </c>
      <c r="D57">
        <v>73</v>
      </c>
    </row>
    <row r="58" spans="1:4" x14ac:dyDescent="0.45">
      <c r="A58">
        <v>74</v>
      </c>
      <c r="B58">
        <v>99</v>
      </c>
      <c r="C58">
        <v>77</v>
      </c>
      <c r="D58">
        <v>83</v>
      </c>
    </row>
    <row r="59" spans="1:4" x14ac:dyDescent="0.45">
      <c r="A59">
        <v>81</v>
      </c>
      <c r="B59">
        <v>104</v>
      </c>
      <c r="C59">
        <v>78</v>
      </c>
      <c r="D59">
        <v>83</v>
      </c>
    </row>
    <row r="60" spans="1:4" x14ac:dyDescent="0.45">
      <c r="A60">
        <v>84</v>
      </c>
      <c r="B60">
        <v>108</v>
      </c>
      <c r="C60">
        <v>58</v>
      </c>
      <c r="D60">
        <v>64</v>
      </c>
    </row>
    <row r="61" spans="1:4" x14ac:dyDescent="0.45">
      <c r="A61">
        <v>92</v>
      </c>
      <c r="B61">
        <v>130</v>
      </c>
      <c r="C61">
        <v>58</v>
      </c>
      <c r="D61">
        <v>75</v>
      </c>
    </row>
    <row r="62" spans="1:4" x14ac:dyDescent="0.45">
      <c r="A62">
        <v>85</v>
      </c>
      <c r="B62">
        <v>109</v>
      </c>
      <c r="C62">
        <v>89</v>
      </c>
      <c r="D62">
        <v>73</v>
      </c>
    </row>
    <row r="63" spans="1:4" x14ac:dyDescent="0.45">
      <c r="A63">
        <v>84</v>
      </c>
      <c r="B63">
        <v>106</v>
      </c>
      <c r="C63">
        <v>84</v>
      </c>
      <c r="D63">
        <v>80</v>
      </c>
    </row>
    <row r="64" spans="1:4" x14ac:dyDescent="0.45">
      <c r="A64">
        <v>87</v>
      </c>
      <c r="B64">
        <v>125</v>
      </c>
      <c r="C64">
        <v>59</v>
      </c>
      <c r="D64">
        <v>67</v>
      </c>
    </row>
    <row r="65" spans="1:4" x14ac:dyDescent="0.45">
      <c r="A65">
        <v>69</v>
      </c>
      <c r="B65">
        <v>84</v>
      </c>
      <c r="C65">
        <v>60</v>
      </c>
      <c r="D65">
        <v>58</v>
      </c>
    </row>
    <row r="66" spans="1:4" x14ac:dyDescent="0.45">
      <c r="A66">
        <v>69</v>
      </c>
      <c r="B66">
        <v>89</v>
      </c>
      <c r="C66">
        <v>60</v>
      </c>
      <c r="D66">
        <v>67</v>
      </c>
    </row>
    <row r="67" spans="1:4" x14ac:dyDescent="0.45">
      <c r="A67">
        <v>81</v>
      </c>
      <c r="B67">
        <v>109</v>
      </c>
      <c r="C67">
        <v>62</v>
      </c>
      <c r="D67">
        <v>75</v>
      </c>
    </row>
    <row r="68" spans="1:4" x14ac:dyDescent="0.45">
      <c r="A68">
        <v>71</v>
      </c>
      <c r="B68">
        <v>121</v>
      </c>
      <c r="C68">
        <v>67</v>
      </c>
      <c r="D68">
        <v>55</v>
      </c>
    </row>
    <row r="69" spans="1:4" x14ac:dyDescent="0.45">
      <c r="A69">
        <v>76</v>
      </c>
      <c r="B69">
        <v>102</v>
      </c>
      <c r="C69">
        <v>44</v>
      </c>
      <c r="D69">
        <v>73</v>
      </c>
    </row>
    <row r="70" spans="1:4" x14ac:dyDescent="0.45">
      <c r="A70">
        <v>77</v>
      </c>
      <c r="B70">
        <v>111</v>
      </c>
      <c r="C70">
        <v>68</v>
      </c>
      <c r="D70">
        <v>60</v>
      </c>
    </row>
    <row r="71" spans="1:4" x14ac:dyDescent="0.45">
      <c r="A71">
        <v>76</v>
      </c>
      <c r="B71">
        <v>106</v>
      </c>
      <c r="C71">
        <v>63</v>
      </c>
      <c r="D71">
        <v>54</v>
      </c>
    </row>
    <row r="72" spans="1:4" x14ac:dyDescent="0.45">
      <c r="A72">
        <v>90</v>
      </c>
      <c r="B72">
        <v>107</v>
      </c>
      <c r="C72">
        <v>93</v>
      </c>
      <c r="D72">
        <v>75</v>
      </c>
    </row>
    <row r="73" spans="1:4" x14ac:dyDescent="0.45">
      <c r="A73">
        <v>74</v>
      </c>
      <c r="B73">
        <v>97</v>
      </c>
      <c r="C73">
        <v>52</v>
      </c>
      <c r="D73">
        <v>58</v>
      </c>
    </row>
    <row r="74" spans="1:4" x14ac:dyDescent="0.45">
      <c r="A74">
        <v>74</v>
      </c>
      <c r="B74">
        <v>133</v>
      </c>
      <c r="C74">
        <v>60</v>
      </c>
      <c r="D74">
        <v>50</v>
      </c>
    </row>
    <row r="75" spans="1:4" x14ac:dyDescent="0.45">
      <c r="A75">
        <v>65</v>
      </c>
      <c r="B75">
        <v>96</v>
      </c>
      <c r="C75">
        <v>52</v>
      </c>
      <c r="D75">
        <v>74</v>
      </c>
    </row>
    <row r="76" spans="1:4" x14ac:dyDescent="0.45">
      <c r="A76">
        <v>66</v>
      </c>
      <c r="B76">
        <v>97</v>
      </c>
      <c r="C76">
        <v>65</v>
      </c>
      <c r="D76">
        <v>81</v>
      </c>
    </row>
    <row r="77" spans="1:4" x14ac:dyDescent="0.45">
      <c r="A77">
        <v>73</v>
      </c>
      <c r="B77">
        <v>116</v>
      </c>
      <c r="C77">
        <v>62</v>
      </c>
      <c r="D77">
        <v>45</v>
      </c>
    </row>
    <row r="78" spans="1:4" x14ac:dyDescent="0.45">
      <c r="A78">
        <v>80</v>
      </c>
      <c r="B78">
        <v>108</v>
      </c>
      <c r="C78">
        <v>74</v>
      </c>
      <c r="D78">
        <v>92</v>
      </c>
    </row>
    <row r="79" spans="1:4" x14ac:dyDescent="0.45">
      <c r="A79">
        <v>96</v>
      </c>
      <c r="B79">
        <v>102</v>
      </c>
      <c r="C79">
        <v>84</v>
      </c>
      <c r="D79">
        <v>84</v>
      </c>
    </row>
    <row r="80" spans="1:4" x14ac:dyDescent="0.45">
      <c r="A80">
        <v>77</v>
      </c>
      <c r="B80">
        <v>94</v>
      </c>
      <c r="C80">
        <v>78</v>
      </c>
      <c r="D80">
        <v>79</v>
      </c>
    </row>
    <row r="81" spans="1:4" x14ac:dyDescent="0.45">
      <c r="A81">
        <v>73</v>
      </c>
      <c r="B81">
        <v>98</v>
      </c>
      <c r="C81">
        <v>71</v>
      </c>
      <c r="D81">
        <v>68</v>
      </c>
    </row>
    <row r="82" spans="1:4" x14ac:dyDescent="0.45">
      <c r="A82">
        <v>70</v>
      </c>
      <c r="B82">
        <v>87</v>
      </c>
      <c r="C82">
        <v>63</v>
      </c>
      <c r="D82">
        <v>62</v>
      </c>
    </row>
    <row r="83" spans="1:4" x14ac:dyDescent="0.45">
      <c r="A83">
        <v>68</v>
      </c>
      <c r="B83">
        <v>104</v>
      </c>
      <c r="C83">
        <v>57</v>
      </c>
      <c r="D83">
        <v>53</v>
      </c>
    </row>
    <row r="84" spans="1:4" x14ac:dyDescent="0.45">
      <c r="A84">
        <v>66</v>
      </c>
      <c r="B84">
        <v>85</v>
      </c>
      <c r="C84">
        <v>57</v>
      </c>
      <c r="D84">
        <v>51</v>
      </c>
    </row>
    <row r="85" spans="1:4" x14ac:dyDescent="0.45">
      <c r="A85">
        <v>86</v>
      </c>
      <c r="B85">
        <v>145</v>
      </c>
      <c r="C85">
        <v>64</v>
      </c>
      <c r="D85">
        <v>74</v>
      </c>
    </row>
    <row r="86" spans="1:4" x14ac:dyDescent="0.45">
      <c r="A86">
        <v>88</v>
      </c>
      <c r="B86">
        <v>105</v>
      </c>
      <c r="C86">
        <v>76</v>
      </c>
      <c r="D86">
        <v>90</v>
      </c>
    </row>
    <row r="87" spans="1:4" x14ac:dyDescent="0.45">
      <c r="A87">
        <v>82</v>
      </c>
      <c r="B87">
        <v>96</v>
      </c>
      <c r="C87">
        <v>71</v>
      </c>
      <c r="D87">
        <v>63</v>
      </c>
    </row>
    <row r="88" spans="1:4" x14ac:dyDescent="0.45">
      <c r="A88">
        <v>85</v>
      </c>
      <c r="B88">
        <v>103</v>
      </c>
      <c r="C88">
        <v>85</v>
      </c>
      <c r="D88">
        <v>81</v>
      </c>
    </row>
    <row r="89" spans="1:4" x14ac:dyDescent="0.45">
      <c r="A89">
        <v>78</v>
      </c>
      <c r="B89">
        <v>115</v>
      </c>
      <c r="C89">
        <v>56</v>
      </c>
      <c r="D89">
        <v>75</v>
      </c>
    </row>
    <row r="90" spans="1:4" x14ac:dyDescent="0.45">
      <c r="A90">
        <v>87</v>
      </c>
      <c r="B90">
        <v>135</v>
      </c>
      <c r="C90">
        <v>61</v>
      </c>
      <c r="D90">
        <v>61</v>
      </c>
    </row>
    <row r="91" spans="1:4" x14ac:dyDescent="0.45">
      <c r="A91">
        <v>72</v>
      </c>
      <c r="B91">
        <v>104</v>
      </c>
      <c r="C91">
        <v>58</v>
      </c>
      <c r="D91">
        <v>53</v>
      </c>
    </row>
    <row r="92" spans="1:4" x14ac:dyDescent="0.45">
      <c r="A92">
        <v>87</v>
      </c>
      <c r="B92">
        <v>126</v>
      </c>
      <c r="C92">
        <v>83</v>
      </c>
      <c r="D92">
        <v>59</v>
      </c>
    </row>
    <row r="93" spans="1:4" x14ac:dyDescent="0.45">
      <c r="A93">
        <v>81</v>
      </c>
      <c r="B93">
        <v>121</v>
      </c>
      <c r="C93">
        <v>70</v>
      </c>
      <c r="D93">
        <v>81</v>
      </c>
    </row>
    <row r="94" spans="1:4" x14ac:dyDescent="0.45">
      <c r="A94">
        <v>83</v>
      </c>
      <c r="B94">
        <v>106</v>
      </c>
      <c r="C94">
        <v>72</v>
      </c>
      <c r="D94">
        <v>88</v>
      </c>
    </row>
    <row r="95" spans="1:4" x14ac:dyDescent="0.45">
      <c r="A95">
        <v>87</v>
      </c>
      <c r="B95">
        <v>107</v>
      </c>
      <c r="C95">
        <v>93</v>
      </c>
      <c r="D95">
        <v>72</v>
      </c>
    </row>
    <row r="96" spans="1:4" x14ac:dyDescent="0.45">
      <c r="A96">
        <v>63</v>
      </c>
      <c r="B96">
        <v>102</v>
      </c>
      <c r="C96">
        <v>47</v>
      </c>
      <c r="D96">
        <v>64</v>
      </c>
    </row>
    <row r="97" spans="1:4" x14ac:dyDescent="0.45">
      <c r="A97">
        <v>80</v>
      </c>
      <c r="B97">
        <v>85</v>
      </c>
      <c r="C97">
        <v>64</v>
      </c>
      <c r="D97">
        <v>81</v>
      </c>
    </row>
    <row r="98" spans="1:4" x14ac:dyDescent="0.45">
      <c r="A98">
        <v>99</v>
      </c>
      <c r="B98">
        <v>143</v>
      </c>
      <c r="C98">
        <v>97</v>
      </c>
      <c r="D98">
        <v>79</v>
      </c>
    </row>
    <row r="99" spans="1:4" x14ac:dyDescent="0.45">
      <c r="A99">
        <v>79</v>
      </c>
      <c r="B99">
        <v>110</v>
      </c>
      <c r="C99">
        <v>73</v>
      </c>
      <c r="D99">
        <v>57</v>
      </c>
    </row>
    <row r="100" spans="1:4" x14ac:dyDescent="0.45">
      <c r="A100">
        <v>71</v>
      </c>
      <c r="B100">
        <v>128</v>
      </c>
      <c r="C100">
        <v>41</v>
      </c>
      <c r="D100">
        <v>48</v>
      </c>
    </row>
    <row r="101" spans="1:4" x14ac:dyDescent="0.45">
      <c r="A101">
        <v>82</v>
      </c>
      <c r="B101">
        <v>104</v>
      </c>
      <c r="C101">
        <v>78</v>
      </c>
      <c r="D101">
        <v>53</v>
      </c>
    </row>
    <row r="102" spans="1:4" x14ac:dyDescent="0.45">
      <c r="A102">
        <v>85</v>
      </c>
      <c r="B102">
        <v>101</v>
      </c>
      <c r="C102">
        <v>87</v>
      </c>
      <c r="D102">
        <v>65</v>
      </c>
    </row>
    <row r="103" spans="1:4" x14ac:dyDescent="0.45">
      <c r="A103">
        <v>75</v>
      </c>
      <c r="B103">
        <v>94</v>
      </c>
      <c r="C103">
        <v>54</v>
      </c>
      <c r="D103">
        <v>60</v>
      </c>
    </row>
    <row r="104" spans="1:4" x14ac:dyDescent="0.45">
      <c r="A104">
        <v>81</v>
      </c>
      <c r="B104">
        <v>106</v>
      </c>
      <c r="C104">
        <v>72</v>
      </c>
      <c r="D104">
        <v>55</v>
      </c>
    </row>
    <row r="105" spans="1:4" x14ac:dyDescent="0.45">
      <c r="A105">
        <v>68</v>
      </c>
      <c r="B105">
        <v>102</v>
      </c>
      <c r="C105">
        <v>32</v>
      </c>
      <c r="D105">
        <v>69</v>
      </c>
    </row>
    <row r="106" spans="1:4" x14ac:dyDescent="0.45">
      <c r="A106">
        <v>81</v>
      </c>
      <c r="B106">
        <v>98</v>
      </c>
      <c r="C106">
        <v>72</v>
      </c>
      <c r="D106">
        <v>69</v>
      </c>
    </row>
    <row r="107" spans="1:4" x14ac:dyDescent="0.45">
      <c r="A107">
        <v>80</v>
      </c>
      <c r="B107">
        <v>112</v>
      </c>
      <c r="C107">
        <v>72</v>
      </c>
      <c r="D107">
        <v>78</v>
      </c>
    </row>
    <row r="108" spans="1:4" x14ac:dyDescent="0.45">
      <c r="A108">
        <v>78</v>
      </c>
      <c r="B108">
        <v>87</v>
      </c>
      <c r="C108">
        <v>74</v>
      </c>
      <c r="D108">
        <v>93</v>
      </c>
    </row>
    <row r="109" spans="1:4" x14ac:dyDescent="0.45">
      <c r="A109">
        <v>62</v>
      </c>
      <c r="B109">
        <v>73</v>
      </c>
      <c r="C109">
        <v>68</v>
      </c>
      <c r="D109">
        <v>67</v>
      </c>
    </row>
    <row r="110" spans="1:4" x14ac:dyDescent="0.45">
      <c r="A110">
        <v>81</v>
      </c>
      <c r="B110">
        <v>94</v>
      </c>
      <c r="C110">
        <v>67</v>
      </c>
      <c r="D110">
        <v>59</v>
      </c>
    </row>
    <row r="111" spans="1:4" x14ac:dyDescent="0.45">
      <c r="A111">
        <v>76</v>
      </c>
      <c r="B111">
        <v>117</v>
      </c>
      <c r="C111">
        <v>66</v>
      </c>
      <c r="D111">
        <v>68</v>
      </c>
    </row>
    <row r="112" spans="1:4" x14ac:dyDescent="0.45">
      <c r="A112">
        <v>77</v>
      </c>
      <c r="B112">
        <v>112</v>
      </c>
      <c r="C112">
        <v>58</v>
      </c>
      <c r="D112">
        <v>57</v>
      </c>
    </row>
    <row r="113" spans="1:4" x14ac:dyDescent="0.45">
      <c r="A113">
        <v>74</v>
      </c>
      <c r="B113">
        <v>113</v>
      </c>
      <c r="C113">
        <v>57</v>
      </c>
      <c r="D113">
        <v>76</v>
      </c>
    </row>
    <row r="114" spans="1:4" x14ac:dyDescent="0.45">
      <c r="A114">
        <v>69</v>
      </c>
      <c r="B114">
        <v>94</v>
      </c>
      <c r="C114">
        <v>65</v>
      </c>
      <c r="D114">
        <v>53</v>
      </c>
    </row>
    <row r="115" spans="1:4" x14ac:dyDescent="0.45">
      <c r="A115">
        <v>68</v>
      </c>
      <c r="B115">
        <v>119</v>
      </c>
      <c r="C115">
        <v>48</v>
      </c>
      <c r="D115">
        <v>44</v>
      </c>
    </row>
    <row r="116" spans="1:4" x14ac:dyDescent="0.45">
      <c r="A116">
        <v>85</v>
      </c>
      <c r="B116">
        <v>111</v>
      </c>
      <c r="C116">
        <v>91</v>
      </c>
      <c r="D116">
        <v>59</v>
      </c>
    </row>
    <row r="117" spans="1:4" x14ac:dyDescent="0.45">
      <c r="A117">
        <v>79</v>
      </c>
      <c r="B117">
        <v>104</v>
      </c>
      <c r="C117">
        <v>50</v>
      </c>
      <c r="D117">
        <v>73</v>
      </c>
    </row>
    <row r="118" spans="1:4" x14ac:dyDescent="0.45">
      <c r="A118">
        <v>74</v>
      </c>
      <c r="B118">
        <v>99</v>
      </c>
      <c r="C118">
        <v>77</v>
      </c>
      <c r="D118">
        <v>83</v>
      </c>
    </row>
    <row r="119" spans="1:4" x14ac:dyDescent="0.45">
      <c r="A119">
        <v>81</v>
      </c>
      <c r="B119">
        <v>104</v>
      </c>
      <c r="C119">
        <v>78</v>
      </c>
      <c r="D119">
        <v>83</v>
      </c>
    </row>
    <row r="120" spans="1:4" x14ac:dyDescent="0.45">
      <c r="A120">
        <v>84</v>
      </c>
      <c r="B120">
        <v>108</v>
      </c>
      <c r="C120">
        <v>58</v>
      </c>
      <c r="D120">
        <v>64</v>
      </c>
    </row>
    <row r="121" spans="1:4" x14ac:dyDescent="0.45">
      <c r="A121">
        <v>92</v>
      </c>
      <c r="B121">
        <v>130</v>
      </c>
      <c r="C121">
        <v>58</v>
      </c>
      <c r="D121">
        <v>75</v>
      </c>
    </row>
    <row r="122" spans="1:4" x14ac:dyDescent="0.45">
      <c r="A122">
        <v>85</v>
      </c>
      <c r="B122">
        <v>109</v>
      </c>
      <c r="C122">
        <v>89</v>
      </c>
      <c r="D122">
        <v>73</v>
      </c>
    </row>
    <row r="123" spans="1:4" x14ac:dyDescent="0.45">
      <c r="A123">
        <v>84</v>
      </c>
      <c r="B123">
        <v>106</v>
      </c>
      <c r="C123">
        <v>84</v>
      </c>
      <c r="D123">
        <v>80</v>
      </c>
    </row>
    <row r="124" spans="1:4" x14ac:dyDescent="0.45">
      <c r="A124">
        <v>87</v>
      </c>
      <c r="B124">
        <v>125</v>
      </c>
      <c r="C124">
        <v>59</v>
      </c>
      <c r="D124">
        <v>67</v>
      </c>
    </row>
    <row r="125" spans="1:4" x14ac:dyDescent="0.45">
      <c r="A125">
        <v>69</v>
      </c>
      <c r="B125">
        <v>84</v>
      </c>
      <c r="C125">
        <v>60</v>
      </c>
      <c r="D125">
        <v>58</v>
      </c>
    </row>
    <row r="126" spans="1:4" x14ac:dyDescent="0.45">
      <c r="A126">
        <v>69</v>
      </c>
      <c r="B126">
        <v>89</v>
      </c>
      <c r="C126">
        <v>60</v>
      </c>
      <c r="D126">
        <v>67</v>
      </c>
    </row>
    <row r="127" spans="1:4" x14ac:dyDescent="0.45">
      <c r="A127">
        <v>81</v>
      </c>
      <c r="B127">
        <v>109</v>
      </c>
      <c r="C127">
        <v>62</v>
      </c>
      <c r="D127">
        <v>75</v>
      </c>
    </row>
    <row r="128" spans="1:4" x14ac:dyDescent="0.45">
      <c r="A128">
        <v>71</v>
      </c>
      <c r="B128">
        <v>121</v>
      </c>
      <c r="C128">
        <v>67</v>
      </c>
      <c r="D128">
        <v>55</v>
      </c>
    </row>
    <row r="129" spans="1:4" x14ac:dyDescent="0.45">
      <c r="A129">
        <v>76</v>
      </c>
      <c r="B129">
        <v>102</v>
      </c>
      <c r="C129">
        <v>44</v>
      </c>
      <c r="D129">
        <v>73</v>
      </c>
    </row>
    <row r="130" spans="1:4" x14ac:dyDescent="0.45">
      <c r="A130">
        <v>77</v>
      </c>
      <c r="B130">
        <v>111</v>
      </c>
      <c r="C130">
        <v>68</v>
      </c>
      <c r="D130">
        <v>60</v>
      </c>
    </row>
    <row r="131" spans="1:4" x14ac:dyDescent="0.45">
      <c r="A131">
        <v>76</v>
      </c>
      <c r="B131">
        <v>106</v>
      </c>
      <c r="C131">
        <v>63</v>
      </c>
      <c r="D131">
        <v>54</v>
      </c>
    </row>
    <row r="132" spans="1:4" x14ac:dyDescent="0.45">
      <c r="A132">
        <v>90</v>
      </c>
      <c r="B132">
        <v>107</v>
      </c>
      <c r="C132">
        <v>93</v>
      </c>
      <c r="D132">
        <v>75</v>
      </c>
    </row>
    <row r="133" spans="1:4" x14ac:dyDescent="0.45">
      <c r="A133">
        <v>74</v>
      </c>
      <c r="B133">
        <v>97</v>
      </c>
      <c r="C133">
        <v>52</v>
      </c>
      <c r="D133">
        <v>58</v>
      </c>
    </row>
    <row r="134" spans="1:4" x14ac:dyDescent="0.45">
      <c r="A134">
        <v>74</v>
      </c>
      <c r="B134">
        <v>133</v>
      </c>
      <c r="C134">
        <v>60</v>
      </c>
      <c r="D134">
        <v>50</v>
      </c>
    </row>
    <row r="135" spans="1:4" x14ac:dyDescent="0.45">
      <c r="A135">
        <v>65</v>
      </c>
      <c r="B135">
        <v>96</v>
      </c>
      <c r="C135">
        <v>52</v>
      </c>
      <c r="D135">
        <v>74</v>
      </c>
    </row>
    <row r="136" spans="1:4" x14ac:dyDescent="0.45">
      <c r="A136">
        <v>66</v>
      </c>
      <c r="B136">
        <v>97</v>
      </c>
      <c r="C136">
        <v>65</v>
      </c>
      <c r="D136">
        <v>81</v>
      </c>
    </row>
    <row r="137" spans="1:4" x14ac:dyDescent="0.45">
      <c r="A137">
        <v>73</v>
      </c>
      <c r="B137">
        <v>116</v>
      </c>
      <c r="C137">
        <v>62</v>
      </c>
      <c r="D137">
        <v>45</v>
      </c>
    </row>
    <row r="138" spans="1:4" x14ac:dyDescent="0.45">
      <c r="A138">
        <v>80</v>
      </c>
      <c r="B138">
        <v>108</v>
      </c>
      <c r="C138">
        <v>74</v>
      </c>
      <c r="D138">
        <v>92</v>
      </c>
    </row>
    <row r="139" spans="1:4" x14ac:dyDescent="0.45">
      <c r="A139">
        <v>96</v>
      </c>
      <c r="B139">
        <v>102</v>
      </c>
      <c r="C139">
        <v>84</v>
      </c>
      <c r="D139">
        <v>84</v>
      </c>
    </row>
    <row r="140" spans="1:4" x14ac:dyDescent="0.45">
      <c r="A140">
        <v>77</v>
      </c>
      <c r="B140">
        <v>94</v>
      </c>
      <c r="C140">
        <v>78</v>
      </c>
      <c r="D140">
        <v>79</v>
      </c>
    </row>
    <row r="141" spans="1:4" x14ac:dyDescent="0.45">
      <c r="A141">
        <v>73</v>
      </c>
      <c r="B141">
        <v>98</v>
      </c>
      <c r="C141">
        <v>71</v>
      </c>
      <c r="D141">
        <v>68</v>
      </c>
    </row>
    <row r="142" spans="1:4" x14ac:dyDescent="0.45">
      <c r="A142">
        <v>70</v>
      </c>
      <c r="B142">
        <v>87</v>
      </c>
      <c r="C142">
        <v>63</v>
      </c>
      <c r="D142">
        <v>62</v>
      </c>
    </row>
    <row r="143" spans="1:4" x14ac:dyDescent="0.45">
      <c r="A143">
        <v>68</v>
      </c>
      <c r="B143">
        <v>104</v>
      </c>
      <c r="C143">
        <v>57</v>
      </c>
      <c r="D143">
        <v>53</v>
      </c>
    </row>
    <row r="144" spans="1:4" x14ac:dyDescent="0.45">
      <c r="A144">
        <v>66</v>
      </c>
      <c r="B144">
        <v>85</v>
      </c>
      <c r="C144">
        <v>57</v>
      </c>
      <c r="D144">
        <v>51</v>
      </c>
    </row>
    <row r="145" spans="1:4" x14ac:dyDescent="0.45">
      <c r="A145">
        <v>86</v>
      </c>
      <c r="B145">
        <v>145</v>
      </c>
      <c r="C145">
        <v>64</v>
      </c>
      <c r="D145">
        <v>74</v>
      </c>
    </row>
    <row r="146" spans="1:4" x14ac:dyDescent="0.45">
      <c r="A146">
        <v>88</v>
      </c>
      <c r="B146">
        <v>105</v>
      </c>
      <c r="C146">
        <v>76</v>
      </c>
      <c r="D146">
        <v>90</v>
      </c>
    </row>
    <row r="147" spans="1:4" x14ac:dyDescent="0.45">
      <c r="A147">
        <v>82</v>
      </c>
      <c r="B147">
        <v>96</v>
      </c>
      <c r="C147">
        <v>71</v>
      </c>
      <c r="D147">
        <v>63</v>
      </c>
    </row>
    <row r="148" spans="1:4" x14ac:dyDescent="0.45">
      <c r="A148">
        <v>85</v>
      </c>
      <c r="B148">
        <v>103</v>
      </c>
      <c r="C148">
        <v>85</v>
      </c>
      <c r="D148">
        <v>81</v>
      </c>
    </row>
    <row r="149" spans="1:4" x14ac:dyDescent="0.45">
      <c r="A149">
        <v>78</v>
      </c>
      <c r="B149">
        <v>115</v>
      </c>
      <c r="C149">
        <v>56</v>
      </c>
      <c r="D149">
        <v>75</v>
      </c>
    </row>
    <row r="150" spans="1:4" x14ac:dyDescent="0.45">
      <c r="A150">
        <v>87</v>
      </c>
      <c r="B150">
        <v>135</v>
      </c>
      <c r="C150">
        <v>61</v>
      </c>
      <c r="D150">
        <v>61</v>
      </c>
    </row>
    <row r="151" spans="1:4" x14ac:dyDescent="0.45">
      <c r="A151">
        <v>72</v>
      </c>
      <c r="B151">
        <v>104</v>
      </c>
      <c r="C151">
        <v>58</v>
      </c>
      <c r="D151">
        <v>53</v>
      </c>
    </row>
    <row r="152" spans="1:4" x14ac:dyDescent="0.45">
      <c r="A152">
        <v>87</v>
      </c>
      <c r="B152">
        <v>126</v>
      </c>
      <c r="C152">
        <v>83</v>
      </c>
      <c r="D152">
        <v>59</v>
      </c>
    </row>
    <row r="153" spans="1:4" x14ac:dyDescent="0.45">
      <c r="A153">
        <v>81</v>
      </c>
      <c r="B153">
        <v>121</v>
      </c>
      <c r="C153">
        <v>70</v>
      </c>
      <c r="D153">
        <v>81</v>
      </c>
    </row>
    <row r="154" spans="1:4" x14ac:dyDescent="0.45">
      <c r="A154">
        <v>83</v>
      </c>
      <c r="B154">
        <v>106</v>
      </c>
      <c r="C154">
        <v>72</v>
      </c>
      <c r="D154">
        <v>88</v>
      </c>
    </row>
    <row r="155" spans="1:4" x14ac:dyDescent="0.45">
      <c r="A155">
        <v>87</v>
      </c>
      <c r="B155">
        <v>107</v>
      </c>
      <c r="C155">
        <v>93</v>
      </c>
      <c r="D155">
        <v>72</v>
      </c>
    </row>
    <row r="156" spans="1:4" x14ac:dyDescent="0.45">
      <c r="A156">
        <v>63</v>
      </c>
      <c r="B156">
        <v>102</v>
      </c>
      <c r="C156">
        <v>47</v>
      </c>
      <c r="D156">
        <v>64</v>
      </c>
    </row>
    <row r="157" spans="1:4" x14ac:dyDescent="0.45">
      <c r="A157">
        <v>80</v>
      </c>
      <c r="B157">
        <v>85</v>
      </c>
      <c r="C157">
        <v>64</v>
      </c>
      <c r="D157">
        <v>81</v>
      </c>
    </row>
    <row r="158" spans="1:4" x14ac:dyDescent="0.45">
      <c r="A158">
        <v>99</v>
      </c>
      <c r="B158">
        <v>143</v>
      </c>
      <c r="C158">
        <v>97</v>
      </c>
      <c r="D158">
        <v>79</v>
      </c>
    </row>
    <row r="159" spans="1:4" x14ac:dyDescent="0.45">
      <c r="A159">
        <v>79</v>
      </c>
      <c r="B159">
        <v>110</v>
      </c>
      <c r="C159">
        <v>73</v>
      </c>
      <c r="D159">
        <v>57</v>
      </c>
    </row>
    <row r="160" spans="1:4" x14ac:dyDescent="0.45">
      <c r="A160">
        <v>71</v>
      </c>
      <c r="B160">
        <v>128</v>
      </c>
      <c r="C160">
        <v>41</v>
      </c>
      <c r="D160">
        <v>48</v>
      </c>
    </row>
    <row r="161" spans="1:4" x14ac:dyDescent="0.45">
      <c r="A161">
        <v>82</v>
      </c>
      <c r="B161">
        <v>104</v>
      </c>
      <c r="C161">
        <v>78</v>
      </c>
      <c r="D161">
        <v>53</v>
      </c>
    </row>
    <row r="162" spans="1:4" x14ac:dyDescent="0.45">
      <c r="A162">
        <v>85</v>
      </c>
      <c r="B162">
        <v>109</v>
      </c>
      <c r="C162">
        <v>89</v>
      </c>
      <c r="D162">
        <v>73</v>
      </c>
    </row>
    <row r="163" spans="1:4" x14ac:dyDescent="0.45">
      <c r="A163">
        <v>84</v>
      </c>
      <c r="B163">
        <v>106</v>
      </c>
      <c r="C163">
        <v>84</v>
      </c>
      <c r="D163">
        <v>80</v>
      </c>
    </row>
    <row r="164" spans="1:4" x14ac:dyDescent="0.45">
      <c r="A164">
        <v>87</v>
      </c>
      <c r="B164">
        <v>125</v>
      </c>
      <c r="C164">
        <v>59</v>
      </c>
      <c r="D164">
        <v>67</v>
      </c>
    </row>
    <row r="165" spans="1:4" x14ac:dyDescent="0.45">
      <c r="A165">
        <v>69</v>
      </c>
      <c r="B165">
        <v>84</v>
      </c>
      <c r="C165">
        <v>60</v>
      </c>
      <c r="D165">
        <v>58</v>
      </c>
    </row>
    <row r="166" spans="1:4" x14ac:dyDescent="0.45">
      <c r="A166">
        <v>69</v>
      </c>
      <c r="B166">
        <v>89</v>
      </c>
      <c r="C166">
        <v>60</v>
      </c>
      <c r="D166">
        <v>67</v>
      </c>
    </row>
    <row r="167" spans="1:4" x14ac:dyDescent="0.45">
      <c r="A167">
        <v>81</v>
      </c>
      <c r="B167">
        <v>109</v>
      </c>
      <c r="C167">
        <v>62</v>
      </c>
      <c r="D167">
        <v>75</v>
      </c>
    </row>
    <row r="168" spans="1:4" x14ac:dyDescent="0.45">
      <c r="A168">
        <v>71</v>
      </c>
      <c r="B168">
        <v>121</v>
      </c>
      <c r="C168">
        <v>67</v>
      </c>
      <c r="D168">
        <v>55</v>
      </c>
    </row>
    <row r="169" spans="1:4" x14ac:dyDescent="0.45">
      <c r="A169">
        <v>76</v>
      </c>
      <c r="B169">
        <v>102</v>
      </c>
      <c r="C169">
        <v>44</v>
      </c>
      <c r="D169">
        <v>73</v>
      </c>
    </row>
    <row r="170" spans="1:4" x14ac:dyDescent="0.45">
      <c r="A170">
        <v>77</v>
      </c>
      <c r="B170">
        <v>111</v>
      </c>
      <c r="C170">
        <v>68</v>
      </c>
      <c r="D170">
        <v>60</v>
      </c>
    </row>
    <row r="171" spans="1:4" x14ac:dyDescent="0.45">
      <c r="A171">
        <v>76</v>
      </c>
      <c r="B171">
        <v>106</v>
      </c>
      <c r="C171">
        <v>63</v>
      </c>
      <c r="D171">
        <v>54</v>
      </c>
    </row>
    <row r="172" spans="1:4" x14ac:dyDescent="0.45">
      <c r="A172">
        <v>90</v>
      </c>
      <c r="B172">
        <v>107</v>
      </c>
      <c r="C172">
        <v>93</v>
      </c>
      <c r="D172">
        <v>75</v>
      </c>
    </row>
    <row r="173" spans="1:4" x14ac:dyDescent="0.45">
      <c r="A173">
        <v>74</v>
      </c>
      <c r="B173">
        <v>97</v>
      </c>
      <c r="C173">
        <v>52</v>
      </c>
      <c r="D173">
        <v>58</v>
      </c>
    </row>
    <row r="174" spans="1:4" x14ac:dyDescent="0.45">
      <c r="A174">
        <v>74</v>
      </c>
      <c r="B174">
        <v>133</v>
      </c>
      <c r="C174">
        <v>60</v>
      </c>
      <c r="D174">
        <v>50</v>
      </c>
    </row>
    <row r="175" spans="1:4" x14ac:dyDescent="0.45">
      <c r="A175">
        <v>65</v>
      </c>
      <c r="B175">
        <v>96</v>
      </c>
      <c r="C175">
        <v>52</v>
      </c>
      <c r="D175">
        <v>74</v>
      </c>
    </row>
    <row r="176" spans="1:4" x14ac:dyDescent="0.45">
      <c r="A176">
        <v>66</v>
      </c>
      <c r="B176">
        <v>97</v>
      </c>
      <c r="C176">
        <v>65</v>
      </c>
      <c r="D176">
        <v>81</v>
      </c>
    </row>
    <row r="177" spans="1:4" x14ac:dyDescent="0.45">
      <c r="A177">
        <v>73</v>
      </c>
      <c r="B177">
        <v>116</v>
      </c>
      <c r="C177">
        <v>62</v>
      </c>
      <c r="D177">
        <v>45</v>
      </c>
    </row>
    <row r="178" spans="1:4" x14ac:dyDescent="0.45">
      <c r="A178">
        <v>80</v>
      </c>
      <c r="B178">
        <v>108</v>
      </c>
      <c r="C178">
        <v>74</v>
      </c>
      <c r="D178">
        <v>92</v>
      </c>
    </row>
    <row r="179" spans="1:4" x14ac:dyDescent="0.45">
      <c r="A179">
        <v>96</v>
      </c>
      <c r="B179">
        <v>102</v>
      </c>
      <c r="C179">
        <v>84</v>
      </c>
      <c r="D179">
        <v>84</v>
      </c>
    </row>
    <row r="180" spans="1:4" x14ac:dyDescent="0.45">
      <c r="A180">
        <v>77</v>
      </c>
      <c r="B180">
        <v>94</v>
      </c>
      <c r="C180">
        <v>78</v>
      </c>
      <c r="D180">
        <v>79</v>
      </c>
    </row>
    <row r="181" spans="1:4" x14ac:dyDescent="0.45">
      <c r="A181">
        <v>73</v>
      </c>
      <c r="B181">
        <v>98</v>
      </c>
      <c r="C181">
        <v>71</v>
      </c>
      <c r="D181">
        <v>68</v>
      </c>
    </row>
    <row r="182" spans="1:4" x14ac:dyDescent="0.45">
      <c r="A182">
        <v>70</v>
      </c>
      <c r="B182">
        <v>87</v>
      </c>
      <c r="C182">
        <v>63</v>
      </c>
      <c r="D182">
        <v>62</v>
      </c>
    </row>
    <row r="183" spans="1:4" x14ac:dyDescent="0.45">
      <c r="A183">
        <v>68</v>
      </c>
      <c r="B183">
        <v>104</v>
      </c>
      <c r="C183">
        <v>57</v>
      </c>
      <c r="D183">
        <v>53</v>
      </c>
    </row>
    <row r="184" spans="1:4" x14ac:dyDescent="0.45">
      <c r="A184">
        <v>66</v>
      </c>
      <c r="B184">
        <v>85</v>
      </c>
      <c r="C184">
        <v>57</v>
      </c>
      <c r="D184">
        <v>51</v>
      </c>
    </row>
    <row r="185" spans="1:4" x14ac:dyDescent="0.45">
      <c r="A185">
        <v>86</v>
      </c>
      <c r="B185">
        <v>145</v>
      </c>
      <c r="C185">
        <v>64</v>
      </c>
      <c r="D185">
        <v>74</v>
      </c>
    </row>
    <row r="186" spans="1:4" x14ac:dyDescent="0.45">
      <c r="A186">
        <v>88</v>
      </c>
      <c r="B186">
        <v>105</v>
      </c>
      <c r="C186">
        <v>76</v>
      </c>
      <c r="D186">
        <v>90</v>
      </c>
    </row>
    <row r="187" spans="1:4" x14ac:dyDescent="0.45">
      <c r="A187">
        <v>82</v>
      </c>
      <c r="B187">
        <v>96</v>
      </c>
      <c r="C187">
        <v>71</v>
      </c>
      <c r="D187">
        <v>63</v>
      </c>
    </row>
    <row r="188" spans="1:4" x14ac:dyDescent="0.45">
      <c r="A188">
        <v>85</v>
      </c>
      <c r="B188">
        <v>103</v>
      </c>
      <c r="C188">
        <v>85</v>
      </c>
      <c r="D188">
        <v>81</v>
      </c>
    </row>
    <row r="189" spans="1:4" x14ac:dyDescent="0.45">
      <c r="A189">
        <v>78</v>
      </c>
      <c r="B189">
        <v>115</v>
      </c>
      <c r="C189">
        <v>56</v>
      </c>
      <c r="D189">
        <v>75</v>
      </c>
    </row>
    <row r="190" spans="1:4" x14ac:dyDescent="0.45">
      <c r="A190">
        <v>87</v>
      </c>
      <c r="B190">
        <v>135</v>
      </c>
      <c r="C190">
        <v>61</v>
      </c>
      <c r="D190">
        <v>61</v>
      </c>
    </row>
    <row r="191" spans="1:4" x14ac:dyDescent="0.45">
      <c r="A191">
        <v>72</v>
      </c>
      <c r="B191">
        <v>104</v>
      </c>
      <c r="C191">
        <v>58</v>
      </c>
      <c r="D191">
        <v>53</v>
      </c>
    </row>
    <row r="192" spans="1:4" x14ac:dyDescent="0.45">
      <c r="A192">
        <v>87</v>
      </c>
      <c r="B192">
        <v>126</v>
      </c>
      <c r="C192">
        <v>83</v>
      </c>
      <c r="D192">
        <v>59</v>
      </c>
    </row>
    <row r="193" spans="1:4" x14ac:dyDescent="0.45">
      <c r="A193">
        <v>81</v>
      </c>
      <c r="B193">
        <v>121</v>
      </c>
      <c r="C193">
        <v>70</v>
      </c>
      <c r="D193">
        <v>81</v>
      </c>
    </row>
    <row r="194" spans="1:4" x14ac:dyDescent="0.45">
      <c r="A194">
        <v>83</v>
      </c>
      <c r="B194">
        <v>106</v>
      </c>
      <c r="C194">
        <v>72</v>
      </c>
      <c r="D194">
        <v>88</v>
      </c>
    </row>
    <row r="195" spans="1:4" x14ac:dyDescent="0.45">
      <c r="A195">
        <v>87</v>
      </c>
      <c r="B195">
        <v>107</v>
      </c>
      <c r="C195">
        <v>93</v>
      </c>
      <c r="D195">
        <v>72</v>
      </c>
    </row>
    <row r="196" spans="1:4" x14ac:dyDescent="0.45">
      <c r="A196">
        <v>63</v>
      </c>
      <c r="B196">
        <v>102</v>
      </c>
      <c r="C196">
        <v>47</v>
      </c>
      <c r="D196">
        <v>64</v>
      </c>
    </row>
    <row r="197" spans="1:4" x14ac:dyDescent="0.45">
      <c r="A197">
        <v>80</v>
      </c>
      <c r="B197">
        <v>85</v>
      </c>
      <c r="C197">
        <v>64</v>
      </c>
      <c r="D197">
        <v>81</v>
      </c>
    </row>
    <row r="198" spans="1:4" x14ac:dyDescent="0.45">
      <c r="A198">
        <v>99</v>
      </c>
      <c r="B198">
        <v>143</v>
      </c>
      <c r="C198">
        <v>97</v>
      </c>
      <c r="D198">
        <v>79</v>
      </c>
    </row>
    <row r="199" spans="1:4" x14ac:dyDescent="0.45">
      <c r="A199">
        <v>79</v>
      </c>
      <c r="B199">
        <v>110</v>
      </c>
      <c r="C199">
        <v>73</v>
      </c>
      <c r="D199">
        <v>57</v>
      </c>
    </row>
    <row r="200" spans="1:4" x14ac:dyDescent="0.45">
      <c r="A200">
        <v>71</v>
      </c>
      <c r="B200">
        <v>128</v>
      </c>
      <c r="C200">
        <v>41</v>
      </c>
      <c r="D200">
        <v>48</v>
      </c>
    </row>
    <row r="201" spans="1:4" x14ac:dyDescent="0.45">
      <c r="A201">
        <v>82</v>
      </c>
      <c r="B201">
        <v>104</v>
      </c>
      <c r="C201">
        <v>78</v>
      </c>
      <c r="D201">
        <v>53</v>
      </c>
    </row>
    <row r="202" spans="1:4" x14ac:dyDescent="0.45">
      <c r="A202">
        <v>85</v>
      </c>
      <c r="B202">
        <v>101</v>
      </c>
      <c r="C202">
        <v>87</v>
      </c>
      <c r="D202">
        <v>65</v>
      </c>
    </row>
    <row r="203" spans="1:4" x14ac:dyDescent="0.45">
      <c r="A203">
        <v>75</v>
      </c>
      <c r="B203">
        <v>94</v>
      </c>
      <c r="C203">
        <v>54</v>
      </c>
      <c r="D203">
        <v>60</v>
      </c>
    </row>
    <row r="204" spans="1:4" x14ac:dyDescent="0.45">
      <c r="A204">
        <v>81</v>
      </c>
      <c r="B204">
        <v>106</v>
      </c>
      <c r="C204">
        <v>72</v>
      </c>
      <c r="D204">
        <v>55</v>
      </c>
    </row>
    <row r="205" spans="1:4" x14ac:dyDescent="0.45">
      <c r="A205">
        <v>68</v>
      </c>
      <c r="B205">
        <v>102</v>
      </c>
      <c r="C205">
        <v>32</v>
      </c>
      <c r="D205">
        <v>69</v>
      </c>
    </row>
    <row r="206" spans="1:4" x14ac:dyDescent="0.45">
      <c r="A206">
        <v>81</v>
      </c>
      <c r="B206">
        <v>98</v>
      </c>
      <c r="C206">
        <v>72</v>
      </c>
      <c r="D206">
        <v>69</v>
      </c>
    </row>
    <row r="207" spans="1:4" x14ac:dyDescent="0.45">
      <c r="A207">
        <v>80</v>
      </c>
      <c r="B207">
        <v>112</v>
      </c>
      <c r="C207">
        <v>72</v>
      </c>
      <c r="D207">
        <v>78</v>
      </c>
    </row>
    <row r="208" spans="1:4" x14ac:dyDescent="0.45">
      <c r="A208">
        <v>78</v>
      </c>
      <c r="B208">
        <v>87</v>
      </c>
      <c r="C208">
        <v>74</v>
      </c>
      <c r="D208">
        <v>93</v>
      </c>
    </row>
    <row r="209" spans="1:4" x14ac:dyDescent="0.45">
      <c r="A209">
        <v>62</v>
      </c>
      <c r="B209">
        <v>73</v>
      </c>
      <c r="C209">
        <v>68</v>
      </c>
      <c r="D209">
        <v>67</v>
      </c>
    </row>
    <row r="210" spans="1:4" x14ac:dyDescent="0.45">
      <c r="A210">
        <v>81</v>
      </c>
      <c r="B210">
        <v>94</v>
      </c>
      <c r="C210">
        <v>67</v>
      </c>
      <c r="D210">
        <v>59</v>
      </c>
    </row>
    <row r="211" spans="1:4" x14ac:dyDescent="0.45">
      <c r="A211">
        <v>76</v>
      </c>
      <c r="B211">
        <v>117</v>
      </c>
      <c r="C211">
        <v>66</v>
      </c>
      <c r="D211">
        <v>68</v>
      </c>
    </row>
    <row r="212" spans="1:4" x14ac:dyDescent="0.45">
      <c r="A212">
        <v>77</v>
      </c>
      <c r="B212">
        <v>112</v>
      </c>
      <c r="C212">
        <v>58</v>
      </c>
      <c r="D212">
        <v>57</v>
      </c>
    </row>
    <row r="213" spans="1:4" x14ac:dyDescent="0.45">
      <c r="A213">
        <v>74</v>
      </c>
      <c r="B213">
        <v>113</v>
      </c>
      <c r="C213">
        <v>57</v>
      </c>
      <c r="D213">
        <v>76</v>
      </c>
    </row>
    <row r="214" spans="1:4" x14ac:dyDescent="0.45">
      <c r="A214">
        <v>69</v>
      </c>
      <c r="B214">
        <v>94</v>
      </c>
      <c r="C214">
        <v>65</v>
      </c>
      <c r="D214">
        <v>53</v>
      </c>
    </row>
    <row r="215" spans="1:4" x14ac:dyDescent="0.45">
      <c r="A215">
        <v>68</v>
      </c>
      <c r="B215">
        <v>119</v>
      </c>
      <c r="C215">
        <v>48</v>
      </c>
      <c r="D215">
        <v>44</v>
      </c>
    </row>
    <row r="216" spans="1:4" x14ac:dyDescent="0.45">
      <c r="A216">
        <v>85</v>
      </c>
      <c r="B216">
        <v>111</v>
      </c>
      <c r="C216">
        <v>91</v>
      </c>
      <c r="D216">
        <v>59</v>
      </c>
    </row>
    <row r="217" spans="1:4" x14ac:dyDescent="0.45">
      <c r="A217">
        <v>79</v>
      </c>
      <c r="B217">
        <v>104</v>
      </c>
      <c r="C217">
        <v>50</v>
      </c>
      <c r="D217">
        <v>73</v>
      </c>
    </row>
    <row r="218" spans="1:4" x14ac:dyDescent="0.45">
      <c r="A218">
        <v>74</v>
      </c>
      <c r="B218">
        <v>99</v>
      </c>
      <c r="C218">
        <v>77</v>
      </c>
      <c r="D218">
        <v>83</v>
      </c>
    </row>
    <row r="219" spans="1:4" x14ac:dyDescent="0.45">
      <c r="A219">
        <v>81</v>
      </c>
      <c r="B219">
        <v>104</v>
      </c>
      <c r="C219">
        <v>78</v>
      </c>
      <c r="D219">
        <v>83</v>
      </c>
    </row>
    <row r="220" spans="1:4" x14ac:dyDescent="0.45">
      <c r="A220">
        <v>84</v>
      </c>
      <c r="B220">
        <v>108</v>
      </c>
      <c r="C220">
        <v>58</v>
      </c>
      <c r="D220">
        <v>64</v>
      </c>
    </row>
    <row r="221" spans="1:4" x14ac:dyDescent="0.45">
      <c r="A221">
        <v>92</v>
      </c>
      <c r="B221">
        <v>130</v>
      </c>
      <c r="C221">
        <v>58</v>
      </c>
      <c r="D221">
        <v>75</v>
      </c>
    </row>
    <row r="222" spans="1:4" x14ac:dyDescent="0.45">
      <c r="A222">
        <v>85</v>
      </c>
      <c r="B222">
        <v>109</v>
      </c>
      <c r="C222">
        <v>89</v>
      </c>
      <c r="D222">
        <v>73</v>
      </c>
    </row>
    <row r="223" spans="1:4" x14ac:dyDescent="0.45">
      <c r="A223">
        <v>84</v>
      </c>
      <c r="B223">
        <v>106</v>
      </c>
      <c r="C223">
        <v>84</v>
      </c>
      <c r="D223">
        <v>80</v>
      </c>
    </row>
    <row r="224" spans="1:4" x14ac:dyDescent="0.45">
      <c r="A224">
        <v>87</v>
      </c>
      <c r="B224">
        <v>125</v>
      </c>
      <c r="C224">
        <v>59</v>
      </c>
      <c r="D224">
        <v>67</v>
      </c>
    </row>
    <row r="225" spans="1:4" x14ac:dyDescent="0.45">
      <c r="A225">
        <v>69</v>
      </c>
      <c r="B225">
        <v>84</v>
      </c>
      <c r="C225">
        <v>60</v>
      </c>
      <c r="D225">
        <v>58</v>
      </c>
    </row>
    <row r="226" spans="1:4" x14ac:dyDescent="0.45">
      <c r="A226">
        <v>69</v>
      </c>
      <c r="B226">
        <v>89</v>
      </c>
      <c r="C226">
        <v>60</v>
      </c>
      <c r="D226">
        <v>67</v>
      </c>
    </row>
    <row r="227" spans="1:4" x14ac:dyDescent="0.45">
      <c r="A227">
        <v>81</v>
      </c>
      <c r="B227">
        <v>109</v>
      </c>
      <c r="C227">
        <v>62</v>
      </c>
      <c r="D227">
        <v>75</v>
      </c>
    </row>
    <row r="228" spans="1:4" x14ac:dyDescent="0.45">
      <c r="A228">
        <v>71</v>
      </c>
      <c r="B228">
        <v>121</v>
      </c>
      <c r="C228">
        <v>67</v>
      </c>
      <c r="D228">
        <v>55</v>
      </c>
    </row>
    <row r="229" spans="1:4" x14ac:dyDescent="0.45">
      <c r="A229">
        <v>76</v>
      </c>
      <c r="B229">
        <v>102</v>
      </c>
      <c r="C229">
        <v>44</v>
      </c>
      <c r="D229">
        <v>73</v>
      </c>
    </row>
    <row r="230" spans="1:4" x14ac:dyDescent="0.45">
      <c r="A230">
        <v>77</v>
      </c>
      <c r="B230">
        <v>111</v>
      </c>
      <c r="C230">
        <v>68</v>
      </c>
      <c r="D230">
        <v>60</v>
      </c>
    </row>
    <row r="231" spans="1:4" x14ac:dyDescent="0.45">
      <c r="A231">
        <v>76</v>
      </c>
      <c r="B231">
        <v>106</v>
      </c>
      <c r="C231">
        <v>63</v>
      </c>
      <c r="D231">
        <v>54</v>
      </c>
    </row>
    <row r="232" spans="1:4" x14ac:dyDescent="0.45">
      <c r="A232">
        <v>90</v>
      </c>
      <c r="B232">
        <v>107</v>
      </c>
      <c r="C232">
        <v>93</v>
      </c>
      <c r="D232">
        <v>75</v>
      </c>
    </row>
    <row r="233" spans="1:4" x14ac:dyDescent="0.45">
      <c r="A233">
        <v>74</v>
      </c>
      <c r="B233">
        <v>97</v>
      </c>
      <c r="C233">
        <v>52</v>
      </c>
      <c r="D233">
        <v>58</v>
      </c>
    </row>
    <row r="234" spans="1:4" x14ac:dyDescent="0.45">
      <c r="A234">
        <v>74</v>
      </c>
      <c r="B234">
        <v>133</v>
      </c>
      <c r="C234">
        <v>60</v>
      </c>
      <c r="D234">
        <v>50</v>
      </c>
    </row>
    <row r="235" spans="1:4" x14ac:dyDescent="0.45">
      <c r="A235">
        <v>65</v>
      </c>
      <c r="B235">
        <v>96</v>
      </c>
      <c r="C235">
        <v>52</v>
      </c>
      <c r="D235">
        <v>74</v>
      </c>
    </row>
    <row r="236" spans="1:4" x14ac:dyDescent="0.45">
      <c r="A236">
        <v>66</v>
      </c>
      <c r="B236">
        <v>97</v>
      </c>
      <c r="C236">
        <v>65</v>
      </c>
      <c r="D236">
        <v>81</v>
      </c>
    </row>
    <row r="237" spans="1:4" x14ac:dyDescent="0.45">
      <c r="A237">
        <v>73</v>
      </c>
      <c r="B237">
        <v>116</v>
      </c>
      <c r="C237">
        <v>62</v>
      </c>
      <c r="D237">
        <v>45</v>
      </c>
    </row>
    <row r="238" spans="1:4" x14ac:dyDescent="0.45">
      <c r="A238">
        <v>80</v>
      </c>
      <c r="B238">
        <v>108</v>
      </c>
      <c r="C238">
        <v>74</v>
      </c>
      <c r="D238">
        <v>92</v>
      </c>
    </row>
    <row r="239" spans="1:4" x14ac:dyDescent="0.45">
      <c r="A239">
        <v>96</v>
      </c>
      <c r="B239">
        <v>102</v>
      </c>
      <c r="C239">
        <v>84</v>
      </c>
      <c r="D239">
        <v>84</v>
      </c>
    </row>
    <row r="240" spans="1:4" x14ac:dyDescent="0.45">
      <c r="A240">
        <v>77</v>
      </c>
      <c r="B240">
        <v>94</v>
      </c>
      <c r="C240">
        <v>78</v>
      </c>
      <c r="D240">
        <v>79</v>
      </c>
    </row>
    <row r="241" spans="1:4" x14ac:dyDescent="0.45">
      <c r="A241">
        <v>73</v>
      </c>
      <c r="B241">
        <v>98</v>
      </c>
      <c r="C241">
        <v>71</v>
      </c>
      <c r="D241">
        <v>68</v>
      </c>
    </row>
    <row r="242" spans="1:4" x14ac:dyDescent="0.45">
      <c r="A242">
        <v>70</v>
      </c>
      <c r="B242">
        <v>87</v>
      </c>
      <c r="C242">
        <v>63</v>
      </c>
      <c r="D242">
        <v>62</v>
      </c>
    </row>
    <row r="243" spans="1:4" x14ac:dyDescent="0.45">
      <c r="A243">
        <v>68</v>
      </c>
      <c r="B243">
        <v>104</v>
      </c>
      <c r="C243">
        <v>57</v>
      </c>
      <c r="D243">
        <v>53</v>
      </c>
    </row>
    <row r="244" spans="1:4" x14ac:dyDescent="0.45">
      <c r="A244">
        <v>66</v>
      </c>
      <c r="B244">
        <v>85</v>
      </c>
      <c r="C244">
        <v>57</v>
      </c>
      <c r="D244">
        <v>51</v>
      </c>
    </row>
    <row r="245" spans="1:4" x14ac:dyDescent="0.45">
      <c r="A245">
        <v>86</v>
      </c>
      <c r="B245">
        <v>145</v>
      </c>
      <c r="C245">
        <v>64</v>
      </c>
      <c r="D245">
        <v>74</v>
      </c>
    </row>
    <row r="246" spans="1:4" x14ac:dyDescent="0.45">
      <c r="A246">
        <v>88</v>
      </c>
      <c r="B246">
        <v>105</v>
      </c>
      <c r="C246">
        <v>76</v>
      </c>
      <c r="D246">
        <v>90</v>
      </c>
    </row>
    <row r="247" spans="1:4" x14ac:dyDescent="0.45">
      <c r="A247">
        <v>82</v>
      </c>
      <c r="B247">
        <v>96</v>
      </c>
      <c r="C247">
        <v>71</v>
      </c>
      <c r="D247">
        <v>63</v>
      </c>
    </row>
    <row r="248" spans="1:4" x14ac:dyDescent="0.45">
      <c r="A248">
        <v>85</v>
      </c>
      <c r="B248">
        <v>103</v>
      </c>
      <c r="C248">
        <v>85</v>
      </c>
      <c r="D248">
        <v>81</v>
      </c>
    </row>
    <row r="249" spans="1:4" x14ac:dyDescent="0.45">
      <c r="A249">
        <v>78</v>
      </c>
      <c r="B249">
        <v>115</v>
      </c>
      <c r="C249">
        <v>56</v>
      </c>
      <c r="D249">
        <v>75</v>
      </c>
    </row>
    <row r="250" spans="1:4" x14ac:dyDescent="0.45">
      <c r="A250">
        <v>87</v>
      </c>
      <c r="B250">
        <v>135</v>
      </c>
      <c r="C250">
        <v>61</v>
      </c>
      <c r="D250">
        <v>61</v>
      </c>
    </row>
    <row r="251" spans="1:4" x14ac:dyDescent="0.45">
      <c r="A251">
        <v>72</v>
      </c>
      <c r="B251">
        <v>104</v>
      </c>
      <c r="C251">
        <v>58</v>
      </c>
      <c r="D251">
        <v>53</v>
      </c>
    </row>
    <row r="252" spans="1:4" x14ac:dyDescent="0.45">
      <c r="A252">
        <v>87</v>
      </c>
      <c r="B252">
        <v>126</v>
      </c>
      <c r="C252">
        <v>83</v>
      </c>
      <c r="D252">
        <v>59</v>
      </c>
    </row>
    <row r="253" spans="1:4" x14ac:dyDescent="0.45">
      <c r="A253">
        <v>81</v>
      </c>
      <c r="B253">
        <v>121</v>
      </c>
      <c r="C253">
        <v>70</v>
      </c>
      <c r="D253">
        <v>81</v>
      </c>
    </row>
    <row r="254" spans="1:4" x14ac:dyDescent="0.45">
      <c r="A254">
        <v>83</v>
      </c>
      <c r="B254">
        <v>106</v>
      </c>
      <c r="C254">
        <v>72</v>
      </c>
      <c r="D254">
        <v>88</v>
      </c>
    </row>
    <row r="255" spans="1:4" x14ac:dyDescent="0.45">
      <c r="A255">
        <v>87</v>
      </c>
      <c r="B255">
        <v>107</v>
      </c>
      <c r="C255">
        <v>93</v>
      </c>
      <c r="D255">
        <v>72</v>
      </c>
    </row>
    <row r="256" spans="1:4" x14ac:dyDescent="0.45">
      <c r="A256">
        <v>63</v>
      </c>
      <c r="B256">
        <v>102</v>
      </c>
      <c r="C256">
        <v>47</v>
      </c>
      <c r="D256">
        <v>64</v>
      </c>
    </row>
    <row r="257" spans="1:4" x14ac:dyDescent="0.45">
      <c r="A257">
        <v>80</v>
      </c>
      <c r="B257">
        <v>85</v>
      </c>
      <c r="C257">
        <v>64</v>
      </c>
      <c r="D257">
        <v>81</v>
      </c>
    </row>
    <row r="258" spans="1:4" x14ac:dyDescent="0.45">
      <c r="A258">
        <v>99</v>
      </c>
      <c r="B258">
        <v>143</v>
      </c>
      <c r="C258">
        <v>97</v>
      </c>
      <c r="D258">
        <v>79</v>
      </c>
    </row>
    <row r="259" spans="1:4" x14ac:dyDescent="0.45">
      <c r="A259">
        <v>79</v>
      </c>
      <c r="B259">
        <v>110</v>
      </c>
      <c r="C259">
        <v>73</v>
      </c>
      <c r="D259">
        <v>57</v>
      </c>
    </row>
    <row r="260" spans="1:4" x14ac:dyDescent="0.45">
      <c r="A260">
        <v>71</v>
      </c>
      <c r="B260">
        <v>128</v>
      </c>
      <c r="C260">
        <v>41</v>
      </c>
      <c r="D260">
        <v>48</v>
      </c>
    </row>
    <row r="261" spans="1:4" x14ac:dyDescent="0.45">
      <c r="A261">
        <v>82</v>
      </c>
      <c r="B261">
        <v>104</v>
      </c>
      <c r="C261">
        <v>78</v>
      </c>
      <c r="D261">
        <v>53</v>
      </c>
    </row>
    <row r="262" spans="1:4" x14ac:dyDescent="0.45">
      <c r="A262">
        <v>85</v>
      </c>
      <c r="B262">
        <v>101</v>
      </c>
      <c r="C262">
        <v>87</v>
      </c>
      <c r="D262">
        <v>65</v>
      </c>
    </row>
    <row r="263" spans="1:4" x14ac:dyDescent="0.45">
      <c r="A263">
        <v>75</v>
      </c>
      <c r="B263">
        <v>94</v>
      </c>
      <c r="C263">
        <v>54</v>
      </c>
      <c r="D263">
        <v>60</v>
      </c>
    </row>
    <row r="264" spans="1:4" x14ac:dyDescent="0.45">
      <c r="A264">
        <v>81</v>
      </c>
      <c r="B264">
        <v>106</v>
      </c>
      <c r="C264">
        <v>72</v>
      </c>
      <c r="D264">
        <v>55</v>
      </c>
    </row>
    <row r="265" spans="1:4" x14ac:dyDescent="0.45">
      <c r="A265">
        <v>68</v>
      </c>
      <c r="B265">
        <v>102</v>
      </c>
      <c r="C265">
        <v>32</v>
      </c>
      <c r="D265">
        <v>69</v>
      </c>
    </row>
    <row r="266" spans="1:4" x14ac:dyDescent="0.45">
      <c r="A266">
        <v>81</v>
      </c>
      <c r="B266">
        <v>98</v>
      </c>
      <c r="C266">
        <v>72</v>
      </c>
      <c r="D266">
        <v>69</v>
      </c>
    </row>
    <row r="267" spans="1:4" x14ac:dyDescent="0.45">
      <c r="A267">
        <v>80</v>
      </c>
      <c r="B267">
        <v>112</v>
      </c>
      <c r="C267">
        <v>72</v>
      </c>
      <c r="D267">
        <v>78</v>
      </c>
    </row>
    <row r="268" spans="1:4" x14ac:dyDescent="0.45">
      <c r="A268">
        <v>78</v>
      </c>
      <c r="B268">
        <v>87</v>
      </c>
      <c r="C268">
        <v>74</v>
      </c>
      <c r="D268">
        <v>93</v>
      </c>
    </row>
    <row r="269" spans="1:4" x14ac:dyDescent="0.45">
      <c r="A269">
        <v>62</v>
      </c>
      <c r="B269">
        <v>73</v>
      </c>
      <c r="C269">
        <v>68</v>
      </c>
      <c r="D269">
        <v>67</v>
      </c>
    </row>
    <row r="270" spans="1:4" x14ac:dyDescent="0.45">
      <c r="A270">
        <v>81</v>
      </c>
      <c r="B270">
        <v>94</v>
      </c>
      <c r="C270">
        <v>67</v>
      </c>
      <c r="D270">
        <v>59</v>
      </c>
    </row>
    <row r="271" spans="1:4" x14ac:dyDescent="0.45">
      <c r="A271">
        <v>76</v>
      </c>
      <c r="B271">
        <v>117</v>
      </c>
      <c r="C271">
        <v>66</v>
      </c>
      <c r="D271">
        <v>68</v>
      </c>
    </row>
    <row r="272" spans="1:4" x14ac:dyDescent="0.45">
      <c r="A272">
        <v>77</v>
      </c>
      <c r="B272">
        <v>112</v>
      </c>
      <c r="C272">
        <v>58</v>
      </c>
      <c r="D272">
        <v>57</v>
      </c>
    </row>
    <row r="273" spans="1:4" x14ac:dyDescent="0.45">
      <c r="A273">
        <v>74</v>
      </c>
      <c r="B273">
        <v>113</v>
      </c>
      <c r="C273">
        <v>57</v>
      </c>
      <c r="D273">
        <v>76</v>
      </c>
    </row>
    <row r="274" spans="1:4" x14ac:dyDescent="0.45">
      <c r="A274">
        <v>69</v>
      </c>
      <c r="B274">
        <v>94</v>
      </c>
      <c r="C274">
        <v>65</v>
      </c>
      <c r="D274">
        <v>53</v>
      </c>
    </row>
    <row r="275" spans="1:4" x14ac:dyDescent="0.45">
      <c r="A275">
        <v>68</v>
      </c>
      <c r="B275">
        <v>119</v>
      </c>
      <c r="C275">
        <v>48</v>
      </c>
      <c r="D275">
        <v>44</v>
      </c>
    </row>
    <row r="276" spans="1:4" x14ac:dyDescent="0.45">
      <c r="A276">
        <v>85</v>
      </c>
      <c r="B276">
        <v>111</v>
      </c>
      <c r="C276">
        <v>91</v>
      </c>
      <c r="D276">
        <v>59</v>
      </c>
    </row>
    <row r="277" spans="1:4" x14ac:dyDescent="0.45">
      <c r="A277">
        <v>79</v>
      </c>
      <c r="B277">
        <v>104</v>
      </c>
      <c r="C277">
        <v>50</v>
      </c>
      <c r="D277">
        <v>73</v>
      </c>
    </row>
    <row r="278" spans="1:4" x14ac:dyDescent="0.45">
      <c r="A278">
        <v>74</v>
      </c>
      <c r="B278">
        <v>99</v>
      </c>
      <c r="C278">
        <v>77</v>
      </c>
      <c r="D278">
        <v>83</v>
      </c>
    </row>
    <row r="279" spans="1:4" x14ac:dyDescent="0.45">
      <c r="A279">
        <v>81</v>
      </c>
      <c r="B279">
        <v>104</v>
      </c>
      <c r="C279">
        <v>78</v>
      </c>
      <c r="D279">
        <v>83</v>
      </c>
    </row>
    <row r="280" spans="1:4" x14ac:dyDescent="0.45">
      <c r="A280">
        <v>84</v>
      </c>
      <c r="B280">
        <v>108</v>
      </c>
      <c r="C280">
        <v>58</v>
      </c>
      <c r="D280">
        <v>64</v>
      </c>
    </row>
    <row r="281" spans="1:4" x14ac:dyDescent="0.45">
      <c r="A281">
        <v>92</v>
      </c>
      <c r="B281">
        <v>130</v>
      </c>
      <c r="C281">
        <v>58</v>
      </c>
      <c r="D281">
        <v>75</v>
      </c>
    </row>
    <row r="282" spans="1:4" x14ac:dyDescent="0.45">
      <c r="A282">
        <v>85</v>
      </c>
      <c r="B282">
        <v>109</v>
      </c>
      <c r="C282">
        <v>89</v>
      </c>
      <c r="D282">
        <v>73</v>
      </c>
    </row>
    <row r="283" spans="1:4" x14ac:dyDescent="0.45">
      <c r="A283">
        <v>84</v>
      </c>
      <c r="B283">
        <v>106</v>
      </c>
      <c r="C283">
        <v>84</v>
      </c>
      <c r="D283">
        <v>80</v>
      </c>
    </row>
    <row r="284" spans="1:4" x14ac:dyDescent="0.45">
      <c r="A284">
        <v>87</v>
      </c>
      <c r="B284">
        <v>125</v>
      </c>
      <c r="C284">
        <v>59</v>
      </c>
      <c r="D284">
        <v>67</v>
      </c>
    </row>
    <row r="285" spans="1:4" x14ac:dyDescent="0.45">
      <c r="A285">
        <v>69</v>
      </c>
      <c r="B285">
        <v>84</v>
      </c>
      <c r="C285">
        <v>60</v>
      </c>
      <c r="D285">
        <v>58</v>
      </c>
    </row>
    <row r="286" spans="1:4" x14ac:dyDescent="0.45">
      <c r="A286">
        <v>69</v>
      </c>
      <c r="B286">
        <v>89</v>
      </c>
      <c r="C286">
        <v>60</v>
      </c>
      <c r="D286">
        <v>67</v>
      </c>
    </row>
    <row r="287" spans="1:4" x14ac:dyDescent="0.45">
      <c r="A287">
        <v>81</v>
      </c>
      <c r="B287">
        <v>109</v>
      </c>
      <c r="C287">
        <v>62</v>
      </c>
      <c r="D287">
        <v>75</v>
      </c>
    </row>
    <row r="288" spans="1:4" x14ac:dyDescent="0.45">
      <c r="A288">
        <v>71</v>
      </c>
      <c r="B288">
        <v>121</v>
      </c>
      <c r="C288">
        <v>67</v>
      </c>
      <c r="D288">
        <v>55</v>
      </c>
    </row>
    <row r="289" spans="1:4" x14ac:dyDescent="0.45">
      <c r="A289">
        <v>76</v>
      </c>
      <c r="B289">
        <v>102</v>
      </c>
      <c r="C289">
        <v>44</v>
      </c>
      <c r="D289">
        <v>73</v>
      </c>
    </row>
    <row r="290" spans="1:4" x14ac:dyDescent="0.45">
      <c r="A290">
        <v>77</v>
      </c>
      <c r="B290">
        <v>111</v>
      </c>
      <c r="C290">
        <v>68</v>
      </c>
      <c r="D290">
        <v>60</v>
      </c>
    </row>
    <row r="291" spans="1:4" x14ac:dyDescent="0.45">
      <c r="A291">
        <v>76</v>
      </c>
      <c r="B291">
        <v>106</v>
      </c>
      <c r="C291">
        <v>63</v>
      </c>
      <c r="D291">
        <v>54</v>
      </c>
    </row>
    <row r="292" spans="1:4" x14ac:dyDescent="0.45">
      <c r="A292">
        <v>90</v>
      </c>
      <c r="B292">
        <v>107</v>
      </c>
      <c r="C292">
        <v>93</v>
      </c>
      <c r="D292">
        <v>75</v>
      </c>
    </row>
    <row r="293" spans="1:4" x14ac:dyDescent="0.45">
      <c r="A293">
        <v>74</v>
      </c>
      <c r="B293">
        <v>97</v>
      </c>
      <c r="C293">
        <v>52</v>
      </c>
      <c r="D293">
        <v>58</v>
      </c>
    </row>
    <row r="294" spans="1:4" x14ac:dyDescent="0.45">
      <c r="A294">
        <v>74</v>
      </c>
      <c r="B294">
        <v>133</v>
      </c>
      <c r="C294">
        <v>60</v>
      </c>
      <c r="D294">
        <v>50</v>
      </c>
    </row>
    <row r="295" spans="1:4" x14ac:dyDescent="0.45">
      <c r="A295">
        <v>65</v>
      </c>
      <c r="B295">
        <v>96</v>
      </c>
      <c r="C295">
        <v>52</v>
      </c>
      <c r="D295">
        <v>74</v>
      </c>
    </row>
    <row r="296" spans="1:4" x14ac:dyDescent="0.45">
      <c r="A296">
        <v>66</v>
      </c>
      <c r="B296">
        <v>97</v>
      </c>
      <c r="C296">
        <v>65</v>
      </c>
      <c r="D296">
        <v>81</v>
      </c>
    </row>
    <row r="297" spans="1:4" x14ac:dyDescent="0.45">
      <c r="A297">
        <v>73</v>
      </c>
      <c r="B297">
        <v>116</v>
      </c>
      <c r="C297">
        <v>62</v>
      </c>
      <c r="D297">
        <v>45</v>
      </c>
    </row>
    <row r="298" spans="1:4" x14ac:dyDescent="0.45">
      <c r="A298">
        <v>80</v>
      </c>
      <c r="B298">
        <v>108</v>
      </c>
      <c r="C298">
        <v>74</v>
      </c>
      <c r="D298">
        <v>92</v>
      </c>
    </row>
    <row r="299" spans="1:4" x14ac:dyDescent="0.45">
      <c r="A299">
        <v>96</v>
      </c>
      <c r="B299">
        <v>102</v>
      </c>
      <c r="C299">
        <v>84</v>
      </c>
      <c r="D299">
        <v>84</v>
      </c>
    </row>
    <row r="300" spans="1:4" x14ac:dyDescent="0.45">
      <c r="A300">
        <v>77</v>
      </c>
      <c r="B300">
        <v>94</v>
      </c>
      <c r="C300">
        <v>78</v>
      </c>
      <c r="D300">
        <v>79</v>
      </c>
    </row>
    <row r="301" spans="1:4" x14ac:dyDescent="0.45">
      <c r="A301">
        <v>73</v>
      </c>
      <c r="B301">
        <v>98</v>
      </c>
      <c r="C301">
        <v>71</v>
      </c>
      <c r="D301">
        <v>68</v>
      </c>
    </row>
    <row r="302" spans="1:4" x14ac:dyDescent="0.45">
      <c r="A302">
        <v>70</v>
      </c>
      <c r="B302">
        <v>87</v>
      </c>
      <c r="C302">
        <v>63</v>
      </c>
      <c r="D302">
        <v>62</v>
      </c>
    </row>
    <row r="303" spans="1:4" x14ac:dyDescent="0.45">
      <c r="A303">
        <v>68</v>
      </c>
      <c r="B303">
        <v>104</v>
      </c>
      <c r="C303">
        <v>57</v>
      </c>
      <c r="D303">
        <v>53</v>
      </c>
    </row>
    <row r="304" spans="1:4" x14ac:dyDescent="0.45">
      <c r="A304">
        <v>66</v>
      </c>
      <c r="B304">
        <v>85</v>
      </c>
      <c r="C304">
        <v>57</v>
      </c>
      <c r="D304">
        <v>51</v>
      </c>
    </row>
    <row r="305" spans="1:4" x14ac:dyDescent="0.45">
      <c r="A305">
        <v>86</v>
      </c>
      <c r="B305">
        <v>145</v>
      </c>
      <c r="C305">
        <v>64</v>
      </c>
      <c r="D305">
        <v>74</v>
      </c>
    </row>
    <row r="306" spans="1:4" x14ac:dyDescent="0.45">
      <c r="A306">
        <v>88</v>
      </c>
      <c r="B306">
        <v>105</v>
      </c>
      <c r="C306">
        <v>76</v>
      </c>
      <c r="D306">
        <v>90</v>
      </c>
    </row>
    <row r="307" spans="1:4" x14ac:dyDescent="0.45">
      <c r="A307">
        <v>82</v>
      </c>
      <c r="B307">
        <v>96</v>
      </c>
      <c r="C307">
        <v>71</v>
      </c>
      <c r="D307">
        <v>63</v>
      </c>
    </row>
    <row r="308" spans="1:4" x14ac:dyDescent="0.45">
      <c r="A308">
        <v>85</v>
      </c>
      <c r="B308">
        <v>103</v>
      </c>
      <c r="C308">
        <v>85</v>
      </c>
      <c r="D308">
        <v>81</v>
      </c>
    </row>
    <row r="309" spans="1:4" x14ac:dyDescent="0.45">
      <c r="A309">
        <v>78</v>
      </c>
      <c r="B309">
        <v>115</v>
      </c>
      <c r="C309">
        <v>56</v>
      </c>
      <c r="D309">
        <v>75</v>
      </c>
    </row>
    <row r="310" spans="1:4" x14ac:dyDescent="0.45">
      <c r="A310">
        <v>87</v>
      </c>
      <c r="B310">
        <v>135</v>
      </c>
      <c r="C310">
        <v>61</v>
      </c>
      <c r="D310">
        <v>61</v>
      </c>
    </row>
    <row r="311" spans="1:4" x14ac:dyDescent="0.45">
      <c r="A311">
        <v>72</v>
      </c>
      <c r="B311">
        <v>104</v>
      </c>
      <c r="C311">
        <v>58</v>
      </c>
      <c r="D311">
        <v>53</v>
      </c>
    </row>
    <row r="312" spans="1:4" x14ac:dyDescent="0.45">
      <c r="A312">
        <v>87</v>
      </c>
      <c r="B312">
        <v>126</v>
      </c>
      <c r="C312">
        <v>83</v>
      </c>
      <c r="D312">
        <v>59</v>
      </c>
    </row>
    <row r="313" spans="1:4" x14ac:dyDescent="0.45">
      <c r="A313">
        <v>81</v>
      </c>
      <c r="B313">
        <v>121</v>
      </c>
      <c r="C313">
        <v>70</v>
      </c>
      <c r="D313">
        <v>81</v>
      </c>
    </row>
    <row r="314" spans="1:4" x14ac:dyDescent="0.45">
      <c r="A314">
        <v>83</v>
      </c>
      <c r="B314">
        <v>106</v>
      </c>
      <c r="C314">
        <v>72</v>
      </c>
      <c r="D314">
        <v>88</v>
      </c>
    </row>
    <row r="315" spans="1:4" x14ac:dyDescent="0.45">
      <c r="A315">
        <v>87</v>
      </c>
      <c r="B315">
        <v>107</v>
      </c>
      <c r="C315">
        <v>93</v>
      </c>
      <c r="D315">
        <v>72</v>
      </c>
    </row>
    <row r="316" spans="1:4" x14ac:dyDescent="0.45">
      <c r="A316">
        <v>63</v>
      </c>
      <c r="B316">
        <v>102</v>
      </c>
      <c r="C316">
        <v>47</v>
      </c>
      <c r="D316">
        <v>64</v>
      </c>
    </row>
    <row r="317" spans="1:4" x14ac:dyDescent="0.45">
      <c r="A317">
        <v>80</v>
      </c>
      <c r="B317">
        <v>85</v>
      </c>
      <c r="C317">
        <v>64</v>
      </c>
      <c r="D317">
        <v>81</v>
      </c>
    </row>
    <row r="318" spans="1:4" x14ac:dyDescent="0.45">
      <c r="A318">
        <v>99</v>
      </c>
      <c r="B318">
        <v>143</v>
      </c>
      <c r="C318">
        <v>97</v>
      </c>
      <c r="D318">
        <v>79</v>
      </c>
    </row>
    <row r="319" spans="1:4" x14ac:dyDescent="0.45">
      <c r="A319">
        <v>79</v>
      </c>
      <c r="B319">
        <v>110</v>
      </c>
      <c r="C319">
        <v>73</v>
      </c>
      <c r="D319">
        <v>57</v>
      </c>
    </row>
    <row r="320" spans="1:4" x14ac:dyDescent="0.45">
      <c r="A320">
        <v>71</v>
      </c>
      <c r="B320">
        <v>128</v>
      </c>
      <c r="C320">
        <v>41</v>
      </c>
      <c r="D320">
        <v>48</v>
      </c>
    </row>
    <row r="321" spans="1:4" x14ac:dyDescent="0.45">
      <c r="A321">
        <v>82</v>
      </c>
      <c r="B321">
        <v>104</v>
      </c>
      <c r="C321">
        <v>78</v>
      </c>
      <c r="D321">
        <v>53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5"/>
  <sheetViews>
    <sheetView workbookViewId="0">
      <selection activeCell="B25" sqref="B25"/>
    </sheetView>
  </sheetViews>
  <sheetFormatPr defaultRowHeight="14.25" x14ac:dyDescent="0.45"/>
  <cols>
    <col min="2" max="2" width="12.1328125" customWidth="1"/>
    <col min="3" max="3" width="11.9296875" customWidth="1"/>
  </cols>
  <sheetData>
    <row r="1" spans="2:17" x14ac:dyDescent="0.45">
      <c r="B1" t="s">
        <v>368</v>
      </c>
    </row>
    <row r="2" spans="2:17" ht="14.65" thickBot="1" x14ac:dyDescent="0.5"/>
    <row r="3" spans="2:17" x14ac:dyDescent="0.45">
      <c r="B3" s="13" t="s">
        <v>369</v>
      </c>
      <c r="C3" s="13"/>
    </row>
    <row r="4" spans="2:17" x14ac:dyDescent="0.45">
      <c r="B4" s="8" t="s">
        <v>370</v>
      </c>
      <c r="C4" s="11">
        <v>0.82024338098197702</v>
      </c>
      <c r="D4" t="s">
        <v>392</v>
      </c>
      <c r="O4" t="s">
        <v>446</v>
      </c>
    </row>
    <row r="5" spans="2:17" x14ac:dyDescent="0.45">
      <c r="B5" s="8" t="s">
        <v>371</v>
      </c>
      <c r="C5" s="11">
        <v>0.67279920404474458</v>
      </c>
      <c r="D5" t="s">
        <v>393</v>
      </c>
      <c r="O5" t="s">
        <v>447</v>
      </c>
    </row>
    <row r="6" spans="2:17" x14ac:dyDescent="0.45">
      <c r="B6" s="8" t="s">
        <v>372</v>
      </c>
      <c r="C6" s="11">
        <v>0.66969286737428335</v>
      </c>
      <c r="O6" t="s">
        <v>448</v>
      </c>
    </row>
    <row r="7" spans="2:17" x14ac:dyDescent="0.45">
      <c r="B7" s="8" t="s">
        <v>373</v>
      </c>
      <c r="C7" s="11">
        <v>4.6517446515650258</v>
      </c>
      <c r="O7" t="s">
        <v>449</v>
      </c>
    </row>
    <row r="8" spans="2:17" ht="14.65" thickBot="1" x14ac:dyDescent="0.5">
      <c r="B8" s="9" t="s">
        <v>374</v>
      </c>
      <c r="C8" s="9">
        <v>320</v>
      </c>
      <c r="O8" t="s">
        <v>451</v>
      </c>
    </row>
    <row r="9" spans="2:17" x14ac:dyDescent="0.45">
      <c r="L9" t="s">
        <v>404</v>
      </c>
      <c r="O9" t="s">
        <v>450</v>
      </c>
    </row>
    <row r="10" spans="2:17" ht="14.65" thickBot="1" x14ac:dyDescent="0.5">
      <c r="B10" t="s">
        <v>375</v>
      </c>
      <c r="L10" t="s">
        <v>405</v>
      </c>
    </row>
    <row r="11" spans="2:17" x14ac:dyDescent="0.45">
      <c r="B11" s="10"/>
      <c r="C11" s="10" t="s">
        <v>380</v>
      </c>
      <c r="D11" s="10" t="s">
        <v>381</v>
      </c>
      <c r="E11" s="10" t="s">
        <v>382</v>
      </c>
      <c r="F11" s="10" t="s">
        <v>383</v>
      </c>
      <c r="G11" s="10" t="s">
        <v>384</v>
      </c>
      <c r="L11" t="s">
        <v>407</v>
      </c>
      <c r="P11" t="s">
        <v>452</v>
      </c>
    </row>
    <row r="12" spans="2:17" x14ac:dyDescent="0.45">
      <c r="B12" s="8" t="s">
        <v>376</v>
      </c>
      <c r="C12" s="8">
        <v>3</v>
      </c>
      <c r="D12" s="8">
        <v>14060.149356137001</v>
      </c>
      <c r="E12" s="8">
        <v>4686.7164520456672</v>
      </c>
      <c r="F12" s="8">
        <v>216.58927393238255</v>
      </c>
      <c r="G12" s="8">
        <v>2.5590874836155196E-76</v>
      </c>
      <c r="L12" t="s">
        <v>408</v>
      </c>
      <c r="P12" t="s">
        <v>453</v>
      </c>
    </row>
    <row r="13" spans="2:17" x14ac:dyDescent="0.45">
      <c r="B13" s="8" t="s">
        <v>377</v>
      </c>
      <c r="C13" s="8">
        <v>316</v>
      </c>
      <c r="D13" s="8">
        <v>6837.8381438629694</v>
      </c>
      <c r="E13" s="8">
        <v>21.638728303363827</v>
      </c>
      <c r="F13" s="8"/>
      <c r="G13" s="8"/>
      <c r="L13" t="s">
        <v>409</v>
      </c>
      <c r="Q13" t="s">
        <v>395</v>
      </c>
    </row>
    <row r="14" spans="2:17" ht="14.65" thickBot="1" x14ac:dyDescent="0.5">
      <c r="B14" s="9" t="s">
        <v>378</v>
      </c>
      <c r="C14" s="9">
        <v>319</v>
      </c>
      <c r="D14" s="9">
        <v>20897.98749999997</v>
      </c>
      <c r="E14" s="9"/>
      <c r="F14" s="9"/>
      <c r="G14" s="9"/>
      <c r="L14" t="s">
        <v>410</v>
      </c>
      <c r="M14" s="14" t="s">
        <v>406</v>
      </c>
    </row>
    <row r="15" spans="2:17" ht="14.65" thickBot="1" x14ac:dyDescent="0.5">
      <c r="L15" t="s">
        <v>411</v>
      </c>
    </row>
    <row r="16" spans="2:17" x14ac:dyDescent="0.45">
      <c r="B16" s="10"/>
      <c r="C16" s="10" t="s">
        <v>385</v>
      </c>
      <c r="D16" s="10" t="s">
        <v>373</v>
      </c>
      <c r="E16" s="10" t="s">
        <v>386</v>
      </c>
      <c r="F16" s="10" t="s">
        <v>387</v>
      </c>
      <c r="G16" s="10" t="s">
        <v>388</v>
      </c>
      <c r="H16" s="10" t="s">
        <v>389</v>
      </c>
      <c r="I16" s="10" t="s">
        <v>390</v>
      </c>
      <c r="J16" s="10" t="s">
        <v>391</v>
      </c>
    </row>
    <row r="17" spans="2:10" x14ac:dyDescent="0.45">
      <c r="B17" s="8" t="s">
        <v>379</v>
      </c>
      <c r="C17" s="8">
        <v>17.842505452124659</v>
      </c>
      <c r="D17" s="8">
        <v>2.5998905848151046</v>
      </c>
      <c r="E17" s="8">
        <v>6.8627909021769691</v>
      </c>
      <c r="F17" s="8">
        <v>3.5755785123242148E-11</v>
      </c>
      <c r="G17" s="8">
        <v>12.72722197750574</v>
      </c>
      <c r="H17" s="8">
        <v>22.957788926743575</v>
      </c>
      <c r="I17" s="8">
        <v>12.72722197750574</v>
      </c>
      <c r="J17" s="8">
        <v>22.957788926743575</v>
      </c>
    </row>
    <row r="18" spans="2:10" x14ac:dyDescent="0.45">
      <c r="B18" s="8" t="s">
        <v>2</v>
      </c>
      <c r="C18" s="8">
        <v>0.25733795288854666</v>
      </c>
      <c r="D18" s="8">
        <v>1.8252977811149238E-2</v>
      </c>
      <c r="E18" s="8">
        <v>14.098409341809431</v>
      </c>
      <c r="F18" s="8">
        <v>2.3580791822139253E-35</v>
      </c>
      <c r="G18" s="8">
        <v>0.22142522782800433</v>
      </c>
      <c r="H18" s="8">
        <v>0.29325067794908899</v>
      </c>
      <c r="I18" s="8">
        <v>0.22142522782800433</v>
      </c>
      <c r="J18" s="8">
        <v>0.29325067794908899</v>
      </c>
    </row>
    <row r="19" spans="2:10" x14ac:dyDescent="0.45">
      <c r="B19" s="8" t="s">
        <v>3</v>
      </c>
      <c r="C19" s="8">
        <v>0.3192868200112155</v>
      </c>
      <c r="D19" s="8">
        <v>2.1044172569912506E-2</v>
      </c>
      <c r="E19" s="8">
        <v>15.172220193048103</v>
      </c>
      <c r="F19" s="8">
        <v>1.9363476741096337E-39</v>
      </c>
      <c r="G19" s="8">
        <v>0.27788242060586221</v>
      </c>
      <c r="H19" s="8">
        <v>0.36069121941656879</v>
      </c>
      <c r="I19" s="8">
        <v>0.27788242060586221</v>
      </c>
      <c r="J19" s="8">
        <v>0.36069121941656879</v>
      </c>
    </row>
    <row r="20" spans="2:10" ht="14.65" thickBot="1" x14ac:dyDescent="0.5">
      <c r="B20" s="9" t="s">
        <v>4</v>
      </c>
      <c r="C20" s="9">
        <v>0.16786191138485923</v>
      </c>
      <c r="D20" s="9">
        <v>2.314205488983858E-2</v>
      </c>
      <c r="E20" s="9">
        <v>7.2535439131883459</v>
      </c>
      <c r="F20" s="9">
        <v>3.1540494862498942E-12</v>
      </c>
      <c r="G20" s="9">
        <v>0.12232992952450188</v>
      </c>
      <c r="H20" s="9">
        <v>0.21339389324521657</v>
      </c>
      <c r="I20" s="9">
        <v>0.12232992952450188</v>
      </c>
      <c r="J20" s="9">
        <v>0.21339389324521657</v>
      </c>
    </row>
    <row r="22" spans="2:10" x14ac:dyDescent="0.45">
      <c r="B22" t="s">
        <v>394</v>
      </c>
      <c r="D22" t="s">
        <v>395</v>
      </c>
    </row>
    <row r="24" spans="2:10" x14ac:dyDescent="0.45">
      <c r="B24" t="s">
        <v>396</v>
      </c>
      <c r="C24" t="s">
        <v>398</v>
      </c>
      <c r="D24" t="s">
        <v>399</v>
      </c>
      <c r="E24" t="s">
        <v>397</v>
      </c>
      <c r="F24" t="s">
        <v>400</v>
      </c>
      <c r="G24" t="s">
        <v>401</v>
      </c>
      <c r="H24" t="s">
        <v>402</v>
      </c>
      <c r="I24" t="s">
        <v>403</v>
      </c>
    </row>
    <row r="25" spans="2:10" x14ac:dyDescent="0.45">
      <c r="B25">
        <f>C25*D25+E25*F25+G25*H25+I25</f>
        <v>79.526992107849352</v>
      </c>
      <c r="C25">
        <f>C18</f>
        <v>0.25733795288854666</v>
      </c>
      <c r="D25">
        <f>dashboard!C7</f>
        <v>101</v>
      </c>
      <c r="E25">
        <f>C19</f>
        <v>0.3192868200112155</v>
      </c>
      <c r="F25">
        <f>dashboard!F7</f>
        <v>65</v>
      </c>
      <c r="G25">
        <f>C20</f>
        <v>0.16786191138485923</v>
      </c>
      <c r="H25">
        <f>dashboard!I7</f>
        <v>89</v>
      </c>
      <c r="I25">
        <f>C17</f>
        <v>17.842505452124659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K19"/>
  <sheetViews>
    <sheetView showGridLines="0" topLeftCell="A2" workbookViewId="0">
      <selection activeCell="H14" sqref="H14:I16"/>
    </sheetView>
  </sheetViews>
  <sheetFormatPr defaultRowHeight="14.25" x14ac:dyDescent="0.45"/>
  <sheetData>
    <row r="2" spans="3:10" x14ac:dyDescent="0.45">
      <c r="E2" s="15"/>
    </row>
    <row r="4" spans="3:10" x14ac:dyDescent="0.45">
      <c r="C4" s="18" t="s">
        <v>412</v>
      </c>
      <c r="D4" s="18"/>
      <c r="F4" s="19" t="s">
        <v>413</v>
      </c>
      <c r="G4" s="20"/>
      <c r="I4" s="18" t="s">
        <v>414</v>
      </c>
      <c r="J4" s="18"/>
    </row>
    <row r="5" spans="3:10" x14ac:dyDescent="0.45">
      <c r="C5" s="18"/>
      <c r="D5" s="18"/>
      <c r="F5" s="20"/>
      <c r="G5" s="20"/>
      <c r="I5" s="18"/>
      <c r="J5" s="18"/>
    </row>
    <row r="6" spans="3:10" x14ac:dyDescent="0.45">
      <c r="C6" s="18"/>
      <c r="D6" s="18"/>
      <c r="F6" s="20"/>
      <c r="G6" s="20"/>
      <c r="I6" s="18"/>
      <c r="J6" s="18"/>
    </row>
    <row r="7" spans="3:10" x14ac:dyDescent="0.45">
      <c r="C7" s="16">
        <v>101</v>
      </c>
      <c r="D7" s="16"/>
      <c r="F7" s="16">
        <v>65</v>
      </c>
      <c r="G7" s="16"/>
      <c r="I7" s="16">
        <v>89</v>
      </c>
      <c r="J7" s="16"/>
    </row>
    <row r="8" spans="3:10" x14ac:dyDescent="0.45">
      <c r="C8" s="16"/>
      <c r="D8" s="16"/>
      <c r="F8" s="16"/>
      <c r="G8" s="16"/>
      <c r="I8" s="16"/>
      <c r="J8" s="16"/>
    </row>
    <row r="9" spans="3:10" x14ac:dyDescent="0.45">
      <c r="C9" s="16"/>
      <c r="D9" s="16"/>
      <c r="F9" s="16"/>
      <c r="G9" s="16"/>
      <c r="I9" s="16"/>
      <c r="J9" s="16"/>
    </row>
    <row r="14" spans="3:10" x14ac:dyDescent="0.45">
      <c r="E14" s="21" t="s">
        <v>415</v>
      </c>
      <c r="F14" s="21"/>
      <c r="H14" s="22" t="s">
        <v>416</v>
      </c>
      <c r="I14" s="22"/>
    </row>
    <row r="15" spans="3:10" x14ac:dyDescent="0.45">
      <c r="E15" s="21"/>
      <c r="F15" s="21"/>
      <c r="H15" s="22"/>
      <c r="I15" s="22"/>
    </row>
    <row r="16" spans="3:10" x14ac:dyDescent="0.45">
      <c r="E16" s="21"/>
      <c r="F16" s="21"/>
      <c r="H16" s="22"/>
      <c r="I16" s="22"/>
    </row>
    <row r="17" spans="5:11" x14ac:dyDescent="0.45">
      <c r="E17" s="17">
        <f>regressition!B25</f>
        <v>79.526992107849352</v>
      </c>
      <c r="F17" s="17"/>
      <c r="H17" s="16" t="str">
        <f>IF(E17&gt;84,"selected","rejected")</f>
        <v>rejected</v>
      </c>
      <c r="I17" s="16"/>
    </row>
    <row r="18" spans="5:11" x14ac:dyDescent="0.45">
      <c r="E18" s="17"/>
      <c r="F18" s="17"/>
      <c r="H18" s="16"/>
      <c r="I18" s="16"/>
      <c r="K18" t="s">
        <v>417</v>
      </c>
    </row>
    <row r="19" spans="5:11" x14ac:dyDescent="0.45">
      <c r="E19" s="17"/>
      <c r="F19" s="17"/>
      <c r="H19" s="16"/>
      <c r="I19" s="16"/>
    </row>
  </sheetData>
  <mergeCells count="10">
    <mergeCell ref="E14:F16"/>
    <mergeCell ref="E17:F19"/>
    <mergeCell ref="H14:I16"/>
    <mergeCell ref="H17:I19"/>
    <mergeCell ref="C4:D6"/>
    <mergeCell ref="C7:D9"/>
    <mergeCell ref="F4:G6"/>
    <mergeCell ref="F7:G9"/>
    <mergeCell ref="I4:J6"/>
    <mergeCell ref="I7:J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K12" sqref="K12"/>
    </sheetView>
  </sheetViews>
  <sheetFormatPr defaultRowHeight="14.25" x14ac:dyDescent="0.45"/>
  <sheetData>
    <row r="1" spans="1:9" x14ac:dyDescent="0.45">
      <c r="A1" t="s">
        <v>368</v>
      </c>
    </row>
    <row r="2" spans="1:9" ht="14.65" thickBot="1" x14ac:dyDescent="0.5"/>
    <row r="3" spans="1:9" x14ac:dyDescent="0.45">
      <c r="A3" s="13" t="s">
        <v>369</v>
      </c>
      <c r="B3" s="13"/>
    </row>
    <row r="4" spans="1:9" x14ac:dyDescent="0.45">
      <c r="A4" s="8" t="s">
        <v>370</v>
      </c>
      <c r="B4" s="8">
        <v>0.82024338098197691</v>
      </c>
    </row>
    <row r="5" spans="1:9" x14ac:dyDescent="0.45">
      <c r="A5" s="8" t="s">
        <v>371</v>
      </c>
      <c r="B5" s="8">
        <v>0.67279920404474458</v>
      </c>
    </row>
    <row r="6" spans="1:9" x14ac:dyDescent="0.45">
      <c r="A6" s="8" t="s">
        <v>372</v>
      </c>
      <c r="B6" s="8">
        <v>0.66969286737428335</v>
      </c>
    </row>
    <row r="7" spans="1:9" x14ac:dyDescent="0.45">
      <c r="A7" s="8" t="s">
        <v>373</v>
      </c>
      <c r="B7" s="8">
        <v>4.6517446515650258</v>
      </c>
    </row>
    <row r="8" spans="1:9" ht="14.65" thickBot="1" x14ac:dyDescent="0.5">
      <c r="A8" s="9" t="s">
        <v>374</v>
      </c>
      <c r="B8" s="9">
        <v>320</v>
      </c>
    </row>
    <row r="10" spans="1:9" ht="14.65" thickBot="1" x14ac:dyDescent="0.5">
      <c r="A10" t="s">
        <v>375</v>
      </c>
    </row>
    <row r="11" spans="1:9" x14ac:dyDescent="0.45">
      <c r="A11" s="10"/>
      <c r="B11" s="10" t="s">
        <v>380</v>
      </c>
      <c r="C11" s="10" t="s">
        <v>381</v>
      </c>
      <c r="D11" s="10" t="s">
        <v>382</v>
      </c>
      <c r="E11" s="10" t="s">
        <v>383</v>
      </c>
      <c r="F11" s="10" t="s">
        <v>384</v>
      </c>
    </row>
    <row r="12" spans="1:9" x14ac:dyDescent="0.45">
      <c r="A12" s="8" t="s">
        <v>376</v>
      </c>
      <c r="B12" s="8">
        <v>3</v>
      </c>
      <c r="C12" s="8">
        <v>14060.149356137001</v>
      </c>
      <c r="D12" s="8">
        <v>4686.7164520456672</v>
      </c>
      <c r="E12" s="8">
        <v>216.58927393238255</v>
      </c>
      <c r="F12" s="8">
        <v>2.5590874836155196E-76</v>
      </c>
    </row>
    <row r="13" spans="1:9" x14ac:dyDescent="0.45">
      <c r="A13" s="8" t="s">
        <v>377</v>
      </c>
      <c r="B13" s="8">
        <v>316</v>
      </c>
      <c r="C13" s="8">
        <v>6837.8381438629694</v>
      </c>
      <c r="D13" s="8">
        <v>21.638728303363827</v>
      </c>
      <c r="E13" s="8"/>
      <c r="F13" s="8"/>
    </row>
    <row r="14" spans="1:9" ht="14.65" thickBot="1" x14ac:dyDescent="0.5">
      <c r="A14" s="9" t="s">
        <v>378</v>
      </c>
      <c r="B14" s="9">
        <v>319</v>
      </c>
      <c r="C14" s="9">
        <v>20897.98749999997</v>
      </c>
      <c r="D14" s="9"/>
      <c r="E14" s="9"/>
      <c r="F14" s="9"/>
    </row>
    <row r="15" spans="1:9" ht="14.65" thickBot="1" x14ac:dyDescent="0.5"/>
    <row r="16" spans="1:9" x14ac:dyDescent="0.45">
      <c r="A16" s="10"/>
      <c r="B16" s="10" t="s">
        <v>385</v>
      </c>
      <c r="C16" s="10" t="s">
        <v>373</v>
      </c>
      <c r="D16" s="10" t="s">
        <v>386</v>
      </c>
      <c r="E16" s="10" t="s">
        <v>387</v>
      </c>
      <c r="F16" s="10" t="s">
        <v>388</v>
      </c>
      <c r="G16" s="10" t="s">
        <v>389</v>
      </c>
      <c r="H16" s="10" t="s">
        <v>390</v>
      </c>
      <c r="I16" s="10" t="s">
        <v>391</v>
      </c>
    </row>
    <row r="17" spans="1:9" x14ac:dyDescent="0.45">
      <c r="A17" s="8" t="s">
        <v>379</v>
      </c>
      <c r="B17" s="8">
        <v>17.842505452124659</v>
      </c>
      <c r="C17" s="8">
        <v>2.5998905848151046</v>
      </c>
      <c r="D17" s="8">
        <v>6.8627909021769691</v>
      </c>
      <c r="E17" s="8">
        <v>3.5755785123242148E-11</v>
      </c>
      <c r="F17" s="8">
        <v>12.72722197750574</v>
      </c>
      <c r="G17" s="8">
        <v>22.957788926743575</v>
      </c>
      <c r="H17" s="8">
        <v>12.72722197750574</v>
      </c>
      <c r="I17" s="8">
        <v>22.957788926743575</v>
      </c>
    </row>
    <row r="18" spans="1:9" x14ac:dyDescent="0.45">
      <c r="A18" s="8" t="s">
        <v>2</v>
      </c>
      <c r="B18" s="8">
        <v>0.25733795288854666</v>
      </c>
      <c r="C18" s="8">
        <v>1.8252977811149238E-2</v>
      </c>
      <c r="D18" s="8">
        <v>14.098409341809431</v>
      </c>
      <c r="E18" s="8">
        <v>2.3580791822139253E-35</v>
      </c>
      <c r="F18" s="8">
        <v>0.22142522782800433</v>
      </c>
      <c r="G18" s="8">
        <v>0.29325067794908899</v>
      </c>
      <c r="H18" s="8">
        <v>0.22142522782800433</v>
      </c>
      <c r="I18" s="8">
        <v>0.29325067794908899</v>
      </c>
    </row>
    <row r="19" spans="1:9" x14ac:dyDescent="0.45">
      <c r="A19" s="8" t="s">
        <v>3</v>
      </c>
      <c r="B19" s="8">
        <v>0.3192868200112155</v>
      </c>
      <c r="C19" s="8">
        <v>2.1044172569912506E-2</v>
      </c>
      <c r="D19" s="8">
        <v>15.172220193048103</v>
      </c>
      <c r="E19" s="8">
        <v>1.9363476741096337E-39</v>
      </c>
      <c r="F19" s="8">
        <v>0.27788242060586221</v>
      </c>
      <c r="G19" s="8">
        <v>0.36069121941656879</v>
      </c>
      <c r="H19" s="8">
        <v>0.27788242060586221</v>
      </c>
      <c r="I19" s="8">
        <v>0.36069121941656879</v>
      </c>
    </row>
    <row r="20" spans="1:9" ht="14.65" thickBot="1" x14ac:dyDescent="0.5">
      <c r="A20" s="9" t="s">
        <v>4</v>
      </c>
      <c r="B20" s="9">
        <v>0.16786191138485923</v>
      </c>
      <c r="C20" s="9">
        <v>2.314205488983858E-2</v>
      </c>
      <c r="D20" s="9">
        <v>7.2535439131883459</v>
      </c>
      <c r="E20" s="9">
        <v>3.1540494862498942E-12</v>
      </c>
      <c r="F20" s="9">
        <v>0.12232992952450188</v>
      </c>
      <c r="G20" s="9">
        <v>0.21339389324521657</v>
      </c>
      <c r="H20" s="9">
        <v>0.12232992952450188</v>
      </c>
      <c r="I20" s="9">
        <v>0.21339389324521657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d.s</vt:lpstr>
      <vt:lpstr>regressition</vt:lpstr>
      <vt:lpstr>dashboard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Chaube</dc:creator>
  <cp:lastModifiedBy>Surendher Shatamoni</cp:lastModifiedBy>
  <dcterms:created xsi:type="dcterms:W3CDTF">2023-01-24T03:03:26Z</dcterms:created>
  <dcterms:modified xsi:type="dcterms:W3CDTF">2025-01-07T02:49:34Z</dcterms:modified>
</cp:coreProperties>
</file>