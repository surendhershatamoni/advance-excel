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en\Downloads\"/>
    </mc:Choice>
  </mc:AlternateContent>
  <bookViews>
    <workbookView xWindow="0" yWindow="0" windowWidth="16185" windowHeight="5745" activeTab="4"/>
  </bookViews>
  <sheets>
    <sheet name="Data" sheetId="1" r:id="rId1"/>
    <sheet name="encoding" sheetId="2" r:id="rId2"/>
    <sheet name="Modeling data" sheetId="3" r:id="rId3"/>
    <sheet name="regressition" sheetId="5" r:id="rId4"/>
    <sheet name="dashboard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" i="1" l="1"/>
  <c r="K18" i="1"/>
  <c r="K15" i="1"/>
  <c r="K14" i="1"/>
  <c r="K12" i="1"/>
  <c r="K11" i="1"/>
  <c r="K10" i="1"/>
  <c r="K9" i="1"/>
  <c r="K8" i="1"/>
  <c r="K7" i="1"/>
  <c r="J38" i="2" l="1"/>
  <c r="J37" i="2"/>
  <c r="J34" i="2"/>
  <c r="J33" i="2"/>
  <c r="J32" i="2"/>
  <c r="J31" i="2"/>
  <c r="J30" i="2"/>
  <c r="J29" i="2"/>
  <c r="J28" i="2"/>
  <c r="K6" i="1" l="1"/>
  <c r="K5" i="1"/>
  <c r="I26" i="5" l="1"/>
  <c r="G26" i="5"/>
  <c r="E26" i="5"/>
  <c r="C26" i="5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" i="2"/>
  <c r="B28" i="5" l="1"/>
  <c r="I16" i="6" s="1"/>
  <c r="M16" i="6" s="1"/>
</calcChain>
</file>

<file path=xl/sharedStrings.xml><?xml version="1.0" encoding="utf-8"?>
<sst xmlns="http://schemas.openxmlformats.org/spreadsheetml/2006/main" count="324" uniqueCount="105">
  <si>
    <t>Sl.No</t>
  </si>
  <si>
    <t>Product</t>
  </si>
  <si>
    <t>Price</t>
  </si>
  <si>
    <t>Screen</t>
  </si>
  <si>
    <t>Capacity</t>
  </si>
  <si>
    <t>Connectivity</t>
  </si>
  <si>
    <t xml:space="preserve">Gen </t>
  </si>
  <si>
    <t>16GB Wifi Mini 2</t>
  </si>
  <si>
    <t>Mini</t>
  </si>
  <si>
    <t>16GB</t>
  </si>
  <si>
    <t>Wifi</t>
  </si>
  <si>
    <t>Previous</t>
  </si>
  <si>
    <t>32GB Wifi Mini 2</t>
  </si>
  <si>
    <t>32GB</t>
  </si>
  <si>
    <t>16GB Wifi Mini 4</t>
  </si>
  <si>
    <t>Current</t>
  </si>
  <si>
    <t>16GB Wifi Air</t>
  </si>
  <si>
    <t>Air</t>
  </si>
  <si>
    <t>64GB Wifi Mini 4</t>
  </si>
  <si>
    <t>64GB</t>
  </si>
  <si>
    <t>32GB Wifi Air</t>
  </si>
  <si>
    <t>16GB Wifi Air 2</t>
  </si>
  <si>
    <t>16GB Cellular Mini 4</t>
  </si>
  <si>
    <t>Cellular</t>
  </si>
  <si>
    <t>16GB Cellular Air</t>
  </si>
  <si>
    <t>128GB Wifi Mini 4</t>
  </si>
  <si>
    <t>128GB</t>
  </si>
  <si>
    <t>64 GB Wifi 2</t>
  </si>
  <si>
    <t>wifi</t>
  </si>
  <si>
    <t>current</t>
  </si>
  <si>
    <t>3263 Cellular Mini 2</t>
  </si>
  <si>
    <t>64GB Cellular Mini 4</t>
  </si>
  <si>
    <t>32GB Cellular Air</t>
  </si>
  <si>
    <t>16GB Cellular Air 2</t>
  </si>
  <si>
    <t>128GB Wifi Air 2</t>
  </si>
  <si>
    <t>128GB Cellular Mini 4</t>
  </si>
  <si>
    <t>64GB Cellular Air 2</t>
  </si>
  <si>
    <t>32GB Wifi Pro</t>
  </si>
  <si>
    <t>Pro</t>
  </si>
  <si>
    <t>128GB Cellular Air 2</t>
  </si>
  <si>
    <t>128GB Wifi Pro</t>
  </si>
  <si>
    <t xml:space="preserve">128 GB Cellular pro </t>
  </si>
  <si>
    <t>encoding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</si>
  <si>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</si>
  <si>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</si>
  <si>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</si>
  <si>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</si>
  <si>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</si>
  <si>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</si>
  <si>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</si>
  <si>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</si>
  <si>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</si>
  <si>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</si>
  <si>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</si>
  <si>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</si>
  <si>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</si>
  <si>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</si>
  <si>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</si>
  <si>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</si>
  <si>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</si>
  <si>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</si>
  <si>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</si>
  <si>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</si>
  <si>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</si>
  <si>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</si>
  <si>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</si>
  <si>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</si>
  <si>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y=m1x1+m2x2+m3x3….+c</t>
  </si>
  <si>
    <t>y=</t>
  </si>
  <si>
    <t>m1</t>
  </si>
  <si>
    <t>x1</t>
  </si>
  <si>
    <t>m2</t>
  </si>
  <si>
    <t>x2</t>
  </si>
  <si>
    <t>m3</t>
  </si>
  <si>
    <t>x3</t>
  </si>
  <si>
    <t>m4</t>
  </si>
  <si>
    <t>x4</t>
  </si>
  <si>
    <t>c</t>
  </si>
  <si>
    <t>SCAREEN</t>
  </si>
  <si>
    <t>connectity</t>
  </si>
  <si>
    <t>Gen</t>
  </si>
  <si>
    <t>price in usd</t>
  </si>
  <si>
    <t>price in ind</t>
  </si>
  <si>
    <t xml:space="preserve">minimunm </t>
  </si>
  <si>
    <t>Quartile 1</t>
  </si>
  <si>
    <t>Median /Q2</t>
  </si>
  <si>
    <t>Quartile 3</t>
  </si>
  <si>
    <t>Maximum/ Q4</t>
  </si>
  <si>
    <t>Mode</t>
  </si>
  <si>
    <t>variance</t>
  </si>
  <si>
    <t>standard deviation</t>
  </si>
  <si>
    <t>kurtosis</t>
  </si>
  <si>
    <t>skewness</t>
  </si>
  <si>
    <t>minimum</t>
  </si>
  <si>
    <t>q1</t>
  </si>
  <si>
    <t>q2</t>
  </si>
  <si>
    <t>median</t>
  </si>
  <si>
    <t>max</t>
  </si>
  <si>
    <t>mean</t>
  </si>
  <si>
    <t>mode</t>
  </si>
  <si>
    <t>range</t>
  </si>
  <si>
    <t>sd</t>
  </si>
  <si>
    <t>accept</t>
  </si>
  <si>
    <t>Mean/ avg</t>
  </si>
  <si>
    <t>range/min-max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</si>
</sst>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 &quot;₹&quot;\ * #,##0.00_ ;_ &quot;₹&quot;\ * \-#,##0.00_ ;_ &quot;₹&quot;\ * &quot;-&quot;??_ ;_ @_ "/>
    <numFmt numFmtId="165" formatCode="_ [$₹-4009]\ * #,##0.00_ ;_ [$₹-4009]\ * \-#,##0.00_ ;_ [$₹-4009]\ * &quot;-&quot;??_ ;_ @_ "/>
    <numFmt numFmtId="166" formatCode="0.0"/>
    <numFmt numFmtId="168" formatCode="_-[$$-409]* #,##0_ ;_-[$$-409]* \-#,##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166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8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zoomScale="120" zoomScaleNormal="140" workbookViewId="0">
      <selection activeCell="L19" sqref="L19"/>
    </sheetView>
  </sheetViews>
  <sheetFormatPr defaultRowHeight="14.25" x14ac:dyDescent="0.45"/>
  <cols>
    <col min="1" max="1" width="5.53125" bestFit="1" customWidth="1"/>
    <col min="2" max="2" width="18.796875" bestFit="1" customWidth="1"/>
    <col min="3" max="3" width="5.33203125" bestFit="1" customWidth="1"/>
    <col min="4" max="4" width="6.86328125" bestFit="1" customWidth="1"/>
    <col min="5" max="5" width="8.53125" bestFit="1" customWidth="1"/>
    <col min="6" max="6" width="12.1328125" bestFit="1" customWidth="1"/>
    <col min="7" max="7" width="7.86328125" bestFit="1" customWidth="1"/>
    <col min="10" max="10" width="12.6640625" customWidth="1"/>
  </cols>
  <sheetData>
    <row r="1" spans="1:11" ht="15.75" x14ac:dyDescent="0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45">
      <c r="A2" s="3">
        <v>1</v>
      </c>
      <c r="B2" s="4" t="s">
        <v>7</v>
      </c>
      <c r="C2" s="3">
        <v>279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11" x14ac:dyDescent="0.45">
      <c r="A3" s="3">
        <v>2</v>
      </c>
      <c r="B3" s="4" t="s">
        <v>12</v>
      </c>
      <c r="C3" s="3">
        <v>379</v>
      </c>
      <c r="D3" s="3" t="s">
        <v>8</v>
      </c>
      <c r="E3" s="3" t="s">
        <v>13</v>
      </c>
      <c r="F3" s="3" t="s">
        <v>10</v>
      </c>
      <c r="G3" s="3" t="s">
        <v>11</v>
      </c>
    </row>
    <row r="4" spans="1:11" x14ac:dyDescent="0.45">
      <c r="A4" s="3">
        <v>3</v>
      </c>
      <c r="B4" s="4" t="s">
        <v>14</v>
      </c>
      <c r="C4" s="3">
        <v>399</v>
      </c>
      <c r="D4" s="3" t="s">
        <v>8</v>
      </c>
      <c r="E4" s="3" t="s">
        <v>9</v>
      </c>
      <c r="F4" s="3" t="s">
        <v>10</v>
      </c>
      <c r="G4" s="3" t="s">
        <v>15</v>
      </c>
    </row>
    <row r="5" spans="1:11" x14ac:dyDescent="0.45">
      <c r="A5" s="3">
        <v>4</v>
      </c>
      <c r="B5" s="4" t="s">
        <v>16</v>
      </c>
      <c r="C5" s="3">
        <v>399</v>
      </c>
      <c r="D5" s="3" t="s">
        <v>17</v>
      </c>
      <c r="E5" s="3" t="s">
        <v>9</v>
      </c>
      <c r="F5" s="3" t="s">
        <v>10</v>
      </c>
      <c r="G5" s="3" t="s">
        <v>11</v>
      </c>
      <c r="J5" t="s">
        <v>83</v>
      </c>
      <c r="K5">
        <f>MIN(C2:C24)</f>
        <v>279</v>
      </c>
    </row>
    <row r="6" spans="1:11" x14ac:dyDescent="0.45">
      <c r="A6" s="3">
        <v>5</v>
      </c>
      <c r="B6" s="4" t="s">
        <v>7</v>
      </c>
      <c r="C6" s="3">
        <v>409</v>
      </c>
      <c r="D6" s="3" t="s">
        <v>8</v>
      </c>
      <c r="E6" s="3" t="s">
        <v>9</v>
      </c>
      <c r="F6" s="3" t="s">
        <v>10</v>
      </c>
      <c r="G6" s="3" t="s">
        <v>11</v>
      </c>
      <c r="J6" t="s">
        <v>84</v>
      </c>
      <c r="K6">
        <f>QUARTILE(C2:C24,1)</f>
        <v>499</v>
      </c>
    </row>
    <row r="7" spans="1:11" x14ac:dyDescent="0.45">
      <c r="A7" s="3">
        <v>6</v>
      </c>
      <c r="B7" s="4" t="s">
        <v>18</v>
      </c>
      <c r="C7" s="3">
        <v>499</v>
      </c>
      <c r="D7" s="3" t="s">
        <v>8</v>
      </c>
      <c r="E7" s="3" t="s">
        <v>19</v>
      </c>
      <c r="F7" s="3" t="s">
        <v>10</v>
      </c>
      <c r="G7" s="3" t="s">
        <v>15</v>
      </c>
      <c r="J7" t="s">
        <v>103</v>
      </c>
      <c r="K7" s="12">
        <f>AVERAGE(C2:C24)</f>
        <v>605.52173913043475</v>
      </c>
    </row>
    <row r="8" spans="1:11" x14ac:dyDescent="0.45">
      <c r="A8" s="3">
        <v>7</v>
      </c>
      <c r="B8" s="4" t="s">
        <v>20</v>
      </c>
      <c r="C8" s="3">
        <v>499</v>
      </c>
      <c r="D8" s="3" t="s">
        <v>17</v>
      </c>
      <c r="E8" s="3" t="s">
        <v>13</v>
      </c>
      <c r="F8" s="3" t="s">
        <v>10</v>
      </c>
      <c r="G8" s="3" t="s">
        <v>11</v>
      </c>
      <c r="J8" t="s">
        <v>85</v>
      </c>
      <c r="K8">
        <f>MEDIAN(C2:C24)</f>
        <v>599</v>
      </c>
    </row>
    <row r="9" spans="1:11" x14ac:dyDescent="0.45">
      <c r="A9" s="3">
        <v>8</v>
      </c>
      <c r="B9" s="4" t="s">
        <v>21</v>
      </c>
      <c r="C9" s="3">
        <v>499</v>
      </c>
      <c r="D9" s="3" t="s">
        <v>17</v>
      </c>
      <c r="E9" s="3" t="s">
        <v>9</v>
      </c>
      <c r="F9" s="3" t="s">
        <v>10</v>
      </c>
      <c r="G9" s="3" t="s">
        <v>15</v>
      </c>
      <c r="J9" t="s">
        <v>86</v>
      </c>
      <c r="K9">
        <f>QUARTILE(C2:C24,3)</f>
        <v>714</v>
      </c>
    </row>
    <row r="10" spans="1:11" x14ac:dyDescent="0.45">
      <c r="A10" s="3">
        <v>9</v>
      </c>
      <c r="B10" s="4" t="s">
        <v>22</v>
      </c>
      <c r="C10" s="3">
        <v>529</v>
      </c>
      <c r="D10" s="3" t="s">
        <v>8</v>
      </c>
      <c r="E10" s="3" t="s">
        <v>9</v>
      </c>
      <c r="F10" s="3" t="s">
        <v>23</v>
      </c>
      <c r="G10" s="3" t="s">
        <v>15</v>
      </c>
      <c r="J10" t="s">
        <v>87</v>
      </c>
      <c r="K10">
        <f>QUARTILE(C2:C24,4)</f>
        <v>1079</v>
      </c>
    </row>
    <row r="11" spans="1:11" x14ac:dyDescent="0.45">
      <c r="A11" s="3">
        <v>10</v>
      </c>
      <c r="B11" s="4" t="s">
        <v>24</v>
      </c>
      <c r="C11" s="3">
        <v>529</v>
      </c>
      <c r="D11" s="3" t="s">
        <v>17</v>
      </c>
      <c r="E11" s="3" t="s">
        <v>9</v>
      </c>
      <c r="F11" s="3" t="s">
        <v>23</v>
      </c>
      <c r="G11" s="3" t="s">
        <v>11</v>
      </c>
      <c r="J11" t="s">
        <v>88</v>
      </c>
      <c r="K11">
        <f>MODE(C2:C24)</f>
        <v>499</v>
      </c>
    </row>
    <row r="12" spans="1:11" x14ac:dyDescent="0.45">
      <c r="A12" s="3">
        <v>11</v>
      </c>
      <c r="B12" s="4" t="s">
        <v>25</v>
      </c>
      <c r="C12" s="3">
        <v>599</v>
      </c>
      <c r="D12" s="3" t="s">
        <v>8</v>
      </c>
      <c r="E12" s="3" t="s">
        <v>26</v>
      </c>
      <c r="F12" s="3" t="s">
        <v>10</v>
      </c>
      <c r="G12" s="3" t="s">
        <v>15</v>
      </c>
      <c r="J12" s="11" t="s">
        <v>104</v>
      </c>
      <c r="K12">
        <f>K10-K5</f>
        <v>800</v>
      </c>
    </row>
    <row r="13" spans="1:11" x14ac:dyDescent="0.45">
      <c r="A13" s="3">
        <v>12</v>
      </c>
      <c r="B13" s="4" t="s">
        <v>27</v>
      </c>
      <c r="C13" s="3">
        <v>599</v>
      </c>
      <c r="D13" s="3" t="s">
        <v>8</v>
      </c>
      <c r="E13" s="3" t="s">
        <v>19</v>
      </c>
      <c r="F13" s="3" t="s">
        <v>28</v>
      </c>
      <c r="G13" s="3" t="s">
        <v>29</v>
      </c>
    </row>
    <row r="14" spans="1:11" x14ac:dyDescent="0.45">
      <c r="A14" s="3">
        <v>13</v>
      </c>
      <c r="B14" s="4" t="s">
        <v>30</v>
      </c>
      <c r="C14" s="3">
        <v>609</v>
      </c>
      <c r="D14" s="3" t="s">
        <v>8</v>
      </c>
      <c r="E14" s="3" t="s">
        <v>13</v>
      </c>
      <c r="F14" s="3" t="s">
        <v>23</v>
      </c>
      <c r="G14" s="3" t="s">
        <v>11</v>
      </c>
      <c r="J14" t="s">
        <v>89</v>
      </c>
      <c r="K14">
        <f>VAR(C2:C24)</f>
        <v>36278.260869565253</v>
      </c>
    </row>
    <row r="15" spans="1:11" x14ac:dyDescent="0.45">
      <c r="A15" s="3">
        <v>14</v>
      </c>
      <c r="B15" s="4" t="s">
        <v>31</v>
      </c>
      <c r="C15" s="3">
        <v>629</v>
      </c>
      <c r="D15" s="3" t="s">
        <v>8</v>
      </c>
      <c r="E15" s="3" t="s">
        <v>19</v>
      </c>
      <c r="F15" s="3" t="s">
        <v>23</v>
      </c>
      <c r="G15" s="3" t="s">
        <v>15</v>
      </c>
      <c r="J15" t="s">
        <v>90</v>
      </c>
      <c r="K15">
        <f>STDEV(C2:C24)</f>
        <v>190.46852986665607</v>
      </c>
    </row>
    <row r="16" spans="1:11" x14ac:dyDescent="0.45">
      <c r="A16" s="3">
        <v>15</v>
      </c>
      <c r="B16" s="4" t="s">
        <v>32</v>
      </c>
      <c r="C16" s="3">
        <v>629</v>
      </c>
      <c r="D16" s="3" t="s">
        <v>17</v>
      </c>
      <c r="E16" s="3" t="s">
        <v>13</v>
      </c>
      <c r="F16" s="3" t="s">
        <v>23</v>
      </c>
      <c r="G16" s="3" t="s">
        <v>11</v>
      </c>
    </row>
    <row r="17" spans="1:12" x14ac:dyDescent="0.45">
      <c r="A17" s="3">
        <v>16</v>
      </c>
      <c r="B17" s="4" t="s">
        <v>33</v>
      </c>
      <c r="C17" s="3">
        <v>629</v>
      </c>
      <c r="D17" s="3" t="s">
        <v>17</v>
      </c>
      <c r="E17" s="3" t="s">
        <v>9</v>
      </c>
      <c r="F17" s="3" t="s">
        <v>23</v>
      </c>
      <c r="G17" s="3" t="s">
        <v>15</v>
      </c>
    </row>
    <row r="18" spans="1:12" x14ac:dyDescent="0.45">
      <c r="A18" s="3">
        <v>17</v>
      </c>
      <c r="B18" s="4" t="s">
        <v>34</v>
      </c>
      <c r="C18" s="3">
        <v>699</v>
      </c>
      <c r="D18" s="3" t="s">
        <v>17</v>
      </c>
      <c r="E18" s="3" t="s">
        <v>26</v>
      </c>
      <c r="F18" s="3" t="s">
        <v>10</v>
      </c>
      <c r="G18" s="3" t="s">
        <v>15</v>
      </c>
      <c r="J18" t="s">
        <v>91</v>
      </c>
      <c r="K18">
        <f>KURT(C2:C24)</f>
        <v>0.54631475379753791</v>
      </c>
      <c r="L18" t="s">
        <v>102</v>
      </c>
    </row>
    <row r="19" spans="1:12" x14ac:dyDescent="0.45">
      <c r="A19" s="3">
        <v>18</v>
      </c>
      <c r="B19" s="4" t="s">
        <v>35</v>
      </c>
      <c r="C19" s="3">
        <v>729</v>
      </c>
      <c r="D19" s="3" t="s">
        <v>8</v>
      </c>
      <c r="E19" s="3" t="s">
        <v>26</v>
      </c>
      <c r="F19" s="3" t="s">
        <v>23</v>
      </c>
      <c r="G19" s="3" t="s">
        <v>15</v>
      </c>
      <c r="J19" t="s">
        <v>92</v>
      </c>
      <c r="K19">
        <f>SKEW(C2:C24)</f>
        <v>0.673835798057284</v>
      </c>
      <c r="L19" t="s">
        <v>102</v>
      </c>
    </row>
    <row r="20" spans="1:12" x14ac:dyDescent="0.45">
      <c r="A20" s="3">
        <v>19</v>
      </c>
      <c r="B20" s="4" t="s">
        <v>36</v>
      </c>
      <c r="C20" s="3">
        <v>729</v>
      </c>
      <c r="D20" s="3" t="s">
        <v>17</v>
      </c>
      <c r="E20" s="3" t="s">
        <v>19</v>
      </c>
      <c r="F20" s="3" t="s">
        <v>23</v>
      </c>
      <c r="G20" s="3" t="s">
        <v>15</v>
      </c>
    </row>
    <row r="21" spans="1:12" x14ac:dyDescent="0.45">
      <c r="A21" s="3">
        <v>20</v>
      </c>
      <c r="B21" s="4" t="s">
        <v>37</v>
      </c>
      <c r="C21" s="3">
        <v>799</v>
      </c>
      <c r="D21" s="3" t="s">
        <v>38</v>
      </c>
      <c r="E21" s="3" t="s">
        <v>13</v>
      </c>
      <c r="F21" s="3" t="s">
        <v>10</v>
      </c>
      <c r="G21" s="3" t="s">
        <v>15</v>
      </c>
    </row>
    <row r="22" spans="1:12" x14ac:dyDescent="0.45">
      <c r="A22" s="3">
        <v>21</v>
      </c>
      <c r="B22" s="4" t="s">
        <v>39</v>
      </c>
      <c r="C22" s="3">
        <v>829</v>
      </c>
      <c r="D22" s="3" t="s">
        <v>17</v>
      </c>
      <c r="E22" s="3" t="s">
        <v>26</v>
      </c>
      <c r="F22" s="3" t="s">
        <v>23</v>
      </c>
      <c r="G22" s="3" t="s">
        <v>15</v>
      </c>
    </row>
    <row r="23" spans="1:12" x14ac:dyDescent="0.45">
      <c r="A23" s="3">
        <v>22</v>
      </c>
      <c r="B23" s="4" t="s">
        <v>40</v>
      </c>
      <c r="C23" s="3">
        <v>949</v>
      </c>
      <c r="D23" s="3" t="s">
        <v>38</v>
      </c>
      <c r="E23" s="3" t="s">
        <v>26</v>
      </c>
      <c r="F23" s="3" t="s">
        <v>10</v>
      </c>
      <c r="G23" s="3" t="s">
        <v>15</v>
      </c>
    </row>
    <row r="24" spans="1:12" x14ac:dyDescent="0.45">
      <c r="A24" s="3">
        <v>23</v>
      </c>
      <c r="B24" s="4" t="s">
        <v>41</v>
      </c>
      <c r="C24" s="3">
        <v>1079</v>
      </c>
      <c r="D24" s="3" t="s">
        <v>38</v>
      </c>
      <c r="E24" s="3" t="s">
        <v>26</v>
      </c>
      <c r="F24" s="3" t="s">
        <v>23</v>
      </c>
      <c r="G24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zoomScale="103" workbookViewId="0">
      <selection activeCell="S6" sqref="S6"/>
    </sheetView>
  </sheetViews>
  <sheetFormatPr defaultRowHeight="14.25" x14ac:dyDescent="0.45"/>
  <sheetData>
    <row r="1" spans="1:17" ht="15.75" x14ac:dyDescent="0.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7" ht="15.75" x14ac:dyDescent="0.5">
      <c r="A2" s="3">
        <v>279</v>
      </c>
      <c r="B2" s="3" t="s">
        <v>8</v>
      </c>
      <c r="C2" s="3" t="s">
        <v>9</v>
      </c>
      <c r="D2" s="3" t="s">
        <v>10</v>
      </c>
      <c r="E2" s="3" t="s">
        <v>11</v>
      </c>
      <c r="H2" s="3">
        <v>279</v>
      </c>
      <c r="I2">
        <f>VLOOKUP(B2,$P$3:$Q$5,2,0)</f>
        <v>1</v>
      </c>
      <c r="J2">
        <f>VLOOKUP(C2,$P$8:$Q$11,2,0)</f>
        <v>1</v>
      </c>
      <c r="K2">
        <f>VLOOKUP(D2,$P$14:$Q$15,2,0)</f>
        <v>1</v>
      </c>
      <c r="L2">
        <f>VLOOKUP(E2,$P$18:$Q$19,2,0)</f>
        <v>1</v>
      </c>
      <c r="P2" s="1" t="s">
        <v>3</v>
      </c>
      <c r="Q2" s="5" t="s">
        <v>42</v>
      </c>
    </row>
    <row r="3" spans="1:17" x14ac:dyDescent="0.45">
      <c r="A3" s="3">
        <v>379</v>
      </c>
      <c r="B3" s="3" t="s">
        <v>8</v>
      </c>
      <c r="C3" s="3" t="s">
        <v>13</v>
      </c>
      <c r="D3" s="3" t="s">
        <v>10</v>
      </c>
      <c r="E3" s="3" t="s">
        <v>11</v>
      </c>
      <c r="H3" s="3">
        <v>379</v>
      </c>
      <c r="I3">
        <f t="shared" ref="I3:I24" si="0">VLOOKUP(B3,$P$3:$Q$5,2,0)</f>
        <v>1</v>
      </c>
      <c r="J3">
        <f t="shared" ref="J3:J24" si="1">VLOOKUP(C3,$P$8:$Q$11,2,0)</f>
        <v>2</v>
      </c>
      <c r="K3">
        <f t="shared" ref="K3:K24" si="2">VLOOKUP(D3,$P$14:$Q$15,2,0)</f>
        <v>1</v>
      </c>
      <c r="L3">
        <f t="shared" ref="L3:L24" si="3">VLOOKUP(E3,$P$18:$Q$19,2,0)</f>
        <v>1</v>
      </c>
      <c r="P3" s="3" t="s">
        <v>8</v>
      </c>
      <c r="Q3">
        <v>1</v>
      </c>
    </row>
    <row r="4" spans="1:17" x14ac:dyDescent="0.45">
      <c r="A4" s="3">
        <v>399</v>
      </c>
      <c r="B4" s="3" t="s">
        <v>8</v>
      </c>
      <c r="C4" s="3" t="s">
        <v>9</v>
      </c>
      <c r="D4" s="3" t="s">
        <v>10</v>
      </c>
      <c r="E4" s="3" t="s">
        <v>15</v>
      </c>
      <c r="H4" s="3">
        <v>399</v>
      </c>
      <c r="I4">
        <f t="shared" si="0"/>
        <v>1</v>
      </c>
      <c r="J4">
        <f t="shared" si="1"/>
        <v>1</v>
      </c>
      <c r="K4">
        <f t="shared" si="2"/>
        <v>1</v>
      </c>
      <c r="L4">
        <f t="shared" si="3"/>
        <v>2</v>
      </c>
      <c r="P4" s="3" t="s">
        <v>17</v>
      </c>
      <c r="Q4">
        <v>2</v>
      </c>
    </row>
    <row r="5" spans="1:17" x14ac:dyDescent="0.45">
      <c r="A5" s="3">
        <v>399</v>
      </c>
      <c r="B5" s="3" t="s">
        <v>17</v>
      </c>
      <c r="C5" s="3" t="s">
        <v>9</v>
      </c>
      <c r="D5" s="3" t="s">
        <v>10</v>
      </c>
      <c r="E5" s="3" t="s">
        <v>11</v>
      </c>
      <c r="H5" s="3">
        <v>399</v>
      </c>
      <c r="I5">
        <f t="shared" si="0"/>
        <v>2</v>
      </c>
      <c r="J5">
        <f t="shared" si="1"/>
        <v>1</v>
      </c>
      <c r="K5">
        <f t="shared" si="2"/>
        <v>1</v>
      </c>
      <c r="L5">
        <f t="shared" si="3"/>
        <v>1</v>
      </c>
      <c r="P5" s="3" t="s">
        <v>38</v>
      </c>
      <c r="Q5">
        <v>3</v>
      </c>
    </row>
    <row r="6" spans="1:17" x14ac:dyDescent="0.45">
      <c r="A6" s="3">
        <v>409</v>
      </c>
      <c r="B6" s="3" t="s">
        <v>8</v>
      </c>
      <c r="C6" s="3" t="s">
        <v>9</v>
      </c>
      <c r="D6" s="3" t="s">
        <v>10</v>
      </c>
      <c r="E6" s="3" t="s">
        <v>11</v>
      </c>
      <c r="H6" s="3">
        <v>409</v>
      </c>
      <c r="I6">
        <f t="shared" si="0"/>
        <v>1</v>
      </c>
      <c r="J6">
        <f t="shared" si="1"/>
        <v>1</v>
      </c>
      <c r="K6">
        <f t="shared" si="2"/>
        <v>1</v>
      </c>
      <c r="L6">
        <f t="shared" si="3"/>
        <v>1</v>
      </c>
    </row>
    <row r="7" spans="1:17" x14ac:dyDescent="0.45">
      <c r="A7" s="3">
        <v>499</v>
      </c>
      <c r="B7" s="3" t="s">
        <v>8</v>
      </c>
      <c r="C7" s="3" t="s">
        <v>19</v>
      </c>
      <c r="D7" s="3" t="s">
        <v>10</v>
      </c>
      <c r="E7" s="3" t="s">
        <v>15</v>
      </c>
      <c r="H7" s="3">
        <v>499</v>
      </c>
      <c r="I7">
        <f t="shared" si="0"/>
        <v>1</v>
      </c>
      <c r="J7">
        <f t="shared" si="1"/>
        <v>3</v>
      </c>
      <c r="K7">
        <f t="shared" si="2"/>
        <v>1</v>
      </c>
      <c r="L7">
        <f t="shared" si="3"/>
        <v>2</v>
      </c>
      <c r="P7" t="s">
        <v>4</v>
      </c>
      <c r="Q7" s="5" t="s">
        <v>42</v>
      </c>
    </row>
    <row r="8" spans="1:17" x14ac:dyDescent="0.45">
      <c r="A8" s="3">
        <v>499</v>
      </c>
      <c r="B8" s="3" t="s">
        <v>17</v>
      </c>
      <c r="C8" s="3" t="s">
        <v>13</v>
      </c>
      <c r="D8" s="3" t="s">
        <v>10</v>
      </c>
      <c r="E8" s="3" t="s">
        <v>11</v>
      </c>
      <c r="H8" s="3">
        <v>499</v>
      </c>
      <c r="I8">
        <f t="shared" si="0"/>
        <v>2</v>
      </c>
      <c r="J8">
        <f t="shared" si="1"/>
        <v>2</v>
      </c>
      <c r="K8">
        <f t="shared" si="2"/>
        <v>1</v>
      </c>
      <c r="L8">
        <f t="shared" si="3"/>
        <v>1</v>
      </c>
      <c r="P8" s="3" t="s">
        <v>9</v>
      </c>
      <c r="Q8">
        <v>1</v>
      </c>
    </row>
    <row r="9" spans="1:17" x14ac:dyDescent="0.45">
      <c r="A9" s="3">
        <v>499</v>
      </c>
      <c r="B9" s="3" t="s">
        <v>17</v>
      </c>
      <c r="C9" s="3" t="s">
        <v>9</v>
      </c>
      <c r="D9" s="3" t="s">
        <v>10</v>
      </c>
      <c r="E9" s="3" t="s">
        <v>15</v>
      </c>
      <c r="H9" s="3">
        <v>499</v>
      </c>
      <c r="I9">
        <f t="shared" si="0"/>
        <v>2</v>
      </c>
      <c r="J9">
        <f t="shared" si="1"/>
        <v>1</v>
      </c>
      <c r="K9">
        <f t="shared" si="2"/>
        <v>1</v>
      </c>
      <c r="L9">
        <f t="shared" si="3"/>
        <v>2</v>
      </c>
      <c r="P9" s="3" t="s">
        <v>13</v>
      </c>
      <c r="Q9">
        <v>2</v>
      </c>
    </row>
    <row r="10" spans="1:17" x14ac:dyDescent="0.45">
      <c r="A10" s="3">
        <v>529</v>
      </c>
      <c r="B10" s="3" t="s">
        <v>8</v>
      </c>
      <c r="C10" s="3" t="s">
        <v>9</v>
      </c>
      <c r="D10" s="3" t="s">
        <v>23</v>
      </c>
      <c r="E10" s="3" t="s">
        <v>15</v>
      </c>
      <c r="H10" s="3">
        <v>529</v>
      </c>
      <c r="I10">
        <f t="shared" si="0"/>
        <v>1</v>
      </c>
      <c r="J10">
        <f t="shared" si="1"/>
        <v>1</v>
      </c>
      <c r="K10">
        <f t="shared" si="2"/>
        <v>2</v>
      </c>
      <c r="L10">
        <f t="shared" si="3"/>
        <v>2</v>
      </c>
      <c r="P10" s="3" t="s">
        <v>19</v>
      </c>
      <c r="Q10">
        <v>3</v>
      </c>
    </row>
    <row r="11" spans="1:17" x14ac:dyDescent="0.45">
      <c r="A11" s="3">
        <v>529</v>
      </c>
      <c r="B11" s="3" t="s">
        <v>17</v>
      </c>
      <c r="C11" s="3" t="s">
        <v>9</v>
      </c>
      <c r="D11" s="3" t="s">
        <v>23</v>
      </c>
      <c r="E11" s="3" t="s">
        <v>11</v>
      </c>
      <c r="H11" s="3">
        <v>529</v>
      </c>
      <c r="I11">
        <f t="shared" si="0"/>
        <v>2</v>
      </c>
      <c r="J11">
        <f t="shared" si="1"/>
        <v>1</v>
      </c>
      <c r="K11">
        <f t="shared" si="2"/>
        <v>2</v>
      </c>
      <c r="L11">
        <f t="shared" si="3"/>
        <v>1</v>
      </c>
      <c r="P11" s="3" t="s">
        <v>26</v>
      </c>
      <c r="Q11">
        <v>4</v>
      </c>
    </row>
    <row r="12" spans="1:17" x14ac:dyDescent="0.45">
      <c r="A12" s="3">
        <v>599</v>
      </c>
      <c r="B12" s="3" t="s">
        <v>8</v>
      </c>
      <c r="C12" s="3" t="s">
        <v>26</v>
      </c>
      <c r="D12" s="3" t="s">
        <v>10</v>
      </c>
      <c r="E12" s="3" t="s">
        <v>15</v>
      </c>
      <c r="H12" s="3">
        <v>599</v>
      </c>
      <c r="I12">
        <f t="shared" si="0"/>
        <v>1</v>
      </c>
      <c r="J12">
        <f t="shared" si="1"/>
        <v>4</v>
      </c>
      <c r="K12">
        <f t="shared" si="2"/>
        <v>1</v>
      </c>
      <c r="L12">
        <f t="shared" si="3"/>
        <v>2</v>
      </c>
    </row>
    <row r="13" spans="1:17" ht="15.75" x14ac:dyDescent="0.5">
      <c r="A13" s="3">
        <v>599</v>
      </c>
      <c r="B13" s="3" t="s">
        <v>8</v>
      </c>
      <c r="C13" s="3" t="s">
        <v>19</v>
      </c>
      <c r="D13" s="3" t="s">
        <v>28</v>
      </c>
      <c r="E13" s="3" t="s">
        <v>29</v>
      </c>
      <c r="H13" s="3">
        <v>599</v>
      </c>
      <c r="I13">
        <f t="shared" si="0"/>
        <v>1</v>
      </c>
      <c r="J13">
        <f t="shared" si="1"/>
        <v>3</v>
      </c>
      <c r="K13">
        <f t="shared" si="2"/>
        <v>1</v>
      </c>
      <c r="L13">
        <f t="shared" si="3"/>
        <v>2</v>
      </c>
      <c r="P13" s="1" t="s">
        <v>5</v>
      </c>
      <c r="Q13" s="5" t="s">
        <v>42</v>
      </c>
    </row>
    <row r="14" spans="1:17" x14ac:dyDescent="0.45">
      <c r="A14" s="3">
        <v>609</v>
      </c>
      <c r="B14" s="3" t="s">
        <v>8</v>
      </c>
      <c r="C14" s="3" t="s">
        <v>13</v>
      </c>
      <c r="D14" s="3" t="s">
        <v>23</v>
      </c>
      <c r="E14" s="3" t="s">
        <v>11</v>
      </c>
      <c r="H14" s="3">
        <v>609</v>
      </c>
      <c r="I14">
        <f t="shared" si="0"/>
        <v>1</v>
      </c>
      <c r="J14">
        <f t="shared" si="1"/>
        <v>2</v>
      </c>
      <c r="K14">
        <f t="shared" si="2"/>
        <v>2</v>
      </c>
      <c r="L14">
        <f t="shared" si="3"/>
        <v>1</v>
      </c>
      <c r="P14" s="3" t="s">
        <v>10</v>
      </c>
      <c r="Q14">
        <v>1</v>
      </c>
    </row>
    <row r="15" spans="1:17" x14ac:dyDescent="0.45">
      <c r="A15" s="3">
        <v>629</v>
      </c>
      <c r="B15" s="3" t="s">
        <v>8</v>
      </c>
      <c r="C15" s="3" t="s">
        <v>19</v>
      </c>
      <c r="D15" s="3" t="s">
        <v>23</v>
      </c>
      <c r="E15" s="3" t="s">
        <v>15</v>
      </c>
      <c r="H15" s="3">
        <v>629</v>
      </c>
      <c r="I15">
        <f t="shared" si="0"/>
        <v>1</v>
      </c>
      <c r="J15">
        <f t="shared" si="1"/>
        <v>3</v>
      </c>
      <c r="K15">
        <f t="shared" si="2"/>
        <v>2</v>
      </c>
      <c r="L15">
        <f t="shared" si="3"/>
        <v>2</v>
      </c>
      <c r="P15" s="3" t="s">
        <v>23</v>
      </c>
      <c r="Q15">
        <v>2</v>
      </c>
    </row>
    <row r="16" spans="1:17" x14ac:dyDescent="0.45">
      <c r="A16" s="3">
        <v>629</v>
      </c>
      <c r="B16" s="3" t="s">
        <v>17</v>
      </c>
      <c r="C16" s="3" t="s">
        <v>13</v>
      </c>
      <c r="D16" s="3" t="s">
        <v>23</v>
      </c>
      <c r="E16" s="3" t="s">
        <v>11</v>
      </c>
      <c r="H16" s="3">
        <v>629</v>
      </c>
      <c r="I16">
        <f t="shared" si="0"/>
        <v>2</v>
      </c>
      <c r="J16">
        <f t="shared" si="1"/>
        <v>2</v>
      </c>
      <c r="K16">
        <f t="shared" si="2"/>
        <v>2</v>
      </c>
      <c r="L16">
        <f t="shared" si="3"/>
        <v>1</v>
      </c>
    </row>
    <row r="17" spans="1:17" ht="15.75" x14ac:dyDescent="0.5">
      <c r="A17" s="3">
        <v>629</v>
      </c>
      <c r="B17" s="3" t="s">
        <v>17</v>
      </c>
      <c r="C17" s="3" t="s">
        <v>9</v>
      </c>
      <c r="D17" s="3" t="s">
        <v>23</v>
      </c>
      <c r="E17" s="3" t="s">
        <v>15</v>
      </c>
      <c r="H17" s="3">
        <v>629</v>
      </c>
      <c r="I17">
        <f t="shared" si="0"/>
        <v>2</v>
      </c>
      <c r="J17">
        <f t="shared" si="1"/>
        <v>1</v>
      </c>
      <c r="K17">
        <f t="shared" si="2"/>
        <v>2</v>
      </c>
      <c r="L17">
        <f t="shared" si="3"/>
        <v>2</v>
      </c>
      <c r="P17" s="1" t="s">
        <v>6</v>
      </c>
      <c r="Q17" s="5" t="s">
        <v>42</v>
      </c>
    </row>
    <row r="18" spans="1:17" x14ac:dyDescent="0.45">
      <c r="A18" s="3">
        <v>699</v>
      </c>
      <c r="B18" s="3" t="s">
        <v>17</v>
      </c>
      <c r="C18" s="3" t="s">
        <v>26</v>
      </c>
      <c r="D18" s="3" t="s">
        <v>10</v>
      </c>
      <c r="E18" s="3" t="s">
        <v>15</v>
      </c>
      <c r="H18" s="3">
        <v>699</v>
      </c>
      <c r="I18">
        <f t="shared" si="0"/>
        <v>2</v>
      </c>
      <c r="J18">
        <f t="shared" si="1"/>
        <v>4</v>
      </c>
      <c r="K18">
        <f t="shared" si="2"/>
        <v>1</v>
      </c>
      <c r="L18">
        <f t="shared" si="3"/>
        <v>2</v>
      </c>
      <c r="P18" s="3" t="s">
        <v>11</v>
      </c>
      <c r="Q18">
        <v>1</v>
      </c>
    </row>
    <row r="19" spans="1:17" x14ac:dyDescent="0.45">
      <c r="A19" s="3">
        <v>729</v>
      </c>
      <c r="B19" s="3" t="s">
        <v>8</v>
      </c>
      <c r="C19" s="3" t="s">
        <v>26</v>
      </c>
      <c r="D19" s="3" t="s">
        <v>23</v>
      </c>
      <c r="E19" s="3" t="s">
        <v>15</v>
      </c>
      <c r="H19" s="3">
        <v>729</v>
      </c>
      <c r="I19">
        <f t="shared" si="0"/>
        <v>1</v>
      </c>
      <c r="J19">
        <f t="shared" si="1"/>
        <v>4</v>
      </c>
      <c r="K19">
        <f t="shared" si="2"/>
        <v>2</v>
      </c>
      <c r="L19">
        <f t="shared" si="3"/>
        <v>2</v>
      </c>
      <c r="P19" s="3" t="s">
        <v>15</v>
      </c>
      <c r="Q19">
        <v>2</v>
      </c>
    </row>
    <row r="20" spans="1:17" x14ac:dyDescent="0.45">
      <c r="A20" s="3">
        <v>729</v>
      </c>
      <c r="B20" s="3" t="s">
        <v>17</v>
      </c>
      <c r="C20" s="3" t="s">
        <v>19</v>
      </c>
      <c r="D20" s="3" t="s">
        <v>23</v>
      </c>
      <c r="E20" s="3" t="s">
        <v>15</v>
      </c>
      <c r="H20" s="3">
        <v>729</v>
      </c>
      <c r="I20">
        <f t="shared" si="0"/>
        <v>2</v>
      </c>
      <c r="J20">
        <f t="shared" si="1"/>
        <v>3</v>
      </c>
      <c r="K20">
        <f t="shared" si="2"/>
        <v>2</v>
      </c>
      <c r="L20">
        <f t="shared" si="3"/>
        <v>2</v>
      </c>
    </row>
    <row r="21" spans="1:17" x14ac:dyDescent="0.45">
      <c r="A21" s="3">
        <v>799</v>
      </c>
      <c r="B21" s="3" t="s">
        <v>38</v>
      </c>
      <c r="C21" s="3" t="s">
        <v>13</v>
      </c>
      <c r="D21" s="3" t="s">
        <v>10</v>
      </c>
      <c r="E21" s="3" t="s">
        <v>15</v>
      </c>
      <c r="H21" s="3">
        <v>799</v>
      </c>
      <c r="I21">
        <f t="shared" si="0"/>
        <v>3</v>
      </c>
      <c r="J21">
        <f t="shared" si="1"/>
        <v>2</v>
      </c>
      <c r="K21">
        <f t="shared" si="2"/>
        <v>1</v>
      </c>
      <c r="L21">
        <f t="shared" si="3"/>
        <v>2</v>
      </c>
    </row>
    <row r="22" spans="1:17" x14ac:dyDescent="0.45">
      <c r="A22" s="3">
        <v>829</v>
      </c>
      <c r="B22" s="3" t="s">
        <v>17</v>
      </c>
      <c r="C22" s="3" t="s">
        <v>26</v>
      </c>
      <c r="D22" s="3" t="s">
        <v>23</v>
      </c>
      <c r="E22" s="3" t="s">
        <v>15</v>
      </c>
      <c r="H22" s="3">
        <v>829</v>
      </c>
      <c r="I22">
        <f t="shared" si="0"/>
        <v>2</v>
      </c>
      <c r="J22">
        <f t="shared" si="1"/>
        <v>4</v>
      </c>
      <c r="K22">
        <f t="shared" si="2"/>
        <v>2</v>
      </c>
      <c r="L22">
        <f t="shared" si="3"/>
        <v>2</v>
      </c>
    </row>
    <row r="23" spans="1:17" x14ac:dyDescent="0.45">
      <c r="A23" s="3">
        <v>949</v>
      </c>
      <c r="B23" s="3" t="s">
        <v>38</v>
      </c>
      <c r="C23" s="3" t="s">
        <v>26</v>
      </c>
      <c r="D23" s="3" t="s">
        <v>10</v>
      </c>
      <c r="E23" s="3" t="s">
        <v>15</v>
      </c>
      <c r="H23" s="3">
        <v>949</v>
      </c>
      <c r="I23">
        <f t="shared" si="0"/>
        <v>3</v>
      </c>
      <c r="J23">
        <f t="shared" si="1"/>
        <v>4</v>
      </c>
      <c r="K23">
        <f t="shared" si="2"/>
        <v>1</v>
      </c>
      <c r="L23">
        <f t="shared" si="3"/>
        <v>2</v>
      </c>
    </row>
    <row r="24" spans="1:17" x14ac:dyDescent="0.45">
      <c r="A24" s="3">
        <v>1079</v>
      </c>
      <c r="B24" s="3" t="s">
        <v>38</v>
      </c>
      <c r="C24" s="3" t="s">
        <v>26</v>
      </c>
      <c r="D24" s="3" t="s">
        <v>23</v>
      </c>
      <c r="E24" s="3" t="s">
        <v>15</v>
      </c>
      <c r="H24" s="3">
        <v>1079</v>
      </c>
      <c r="I24">
        <f t="shared" si="0"/>
        <v>3</v>
      </c>
      <c r="J24">
        <f t="shared" si="1"/>
        <v>4</v>
      </c>
      <c r="K24">
        <f t="shared" si="2"/>
        <v>2</v>
      </c>
      <c r="L24">
        <f t="shared" si="3"/>
        <v>2</v>
      </c>
    </row>
    <row r="28" spans="1:17" x14ac:dyDescent="0.45">
      <c r="I28" t="s">
        <v>93</v>
      </c>
      <c r="J28">
        <f>MIN(H2:H24)</f>
        <v>279</v>
      </c>
    </row>
    <row r="29" spans="1:17" x14ac:dyDescent="0.45">
      <c r="I29" t="s">
        <v>94</v>
      </c>
      <c r="J29">
        <f>QUARTILE(H2:H24,1)</f>
        <v>499</v>
      </c>
    </row>
    <row r="30" spans="1:17" x14ac:dyDescent="0.45">
      <c r="I30" t="s">
        <v>95</v>
      </c>
      <c r="J30">
        <f>QUARTILE(H2:H24,2)</f>
        <v>599</v>
      </c>
    </row>
    <row r="31" spans="1:17" x14ac:dyDescent="0.45">
      <c r="I31" t="s">
        <v>96</v>
      </c>
      <c r="J31">
        <f>MEDIAN(H2:H24)</f>
        <v>599</v>
      </c>
    </row>
    <row r="32" spans="1:17" x14ac:dyDescent="0.45">
      <c r="I32" t="s">
        <v>97</v>
      </c>
      <c r="J32">
        <f>MAX(H2:H24)</f>
        <v>1079</v>
      </c>
    </row>
    <row r="33" spans="9:11" x14ac:dyDescent="0.45">
      <c r="I33" t="s">
        <v>98</v>
      </c>
      <c r="J33">
        <f>MEDIAN(H2:H24)</f>
        <v>599</v>
      </c>
    </row>
    <row r="34" spans="9:11" x14ac:dyDescent="0.45">
      <c r="I34" t="s">
        <v>99</v>
      </c>
      <c r="J34">
        <f>MODE(H2:H24)</f>
        <v>499</v>
      </c>
    </row>
    <row r="35" spans="9:11" x14ac:dyDescent="0.45">
      <c r="I35" t="s">
        <v>100</v>
      </c>
    </row>
    <row r="37" spans="9:11" x14ac:dyDescent="0.45">
      <c r="I37" t="s">
        <v>89</v>
      </c>
      <c r="J37" s="10">
        <f>VAR(H2:H24)</f>
        <v>36278.260869565253</v>
      </c>
      <c r="K37" t="s">
        <v>102</v>
      </c>
    </row>
    <row r="38" spans="9:11" x14ac:dyDescent="0.45">
      <c r="I38" t="s">
        <v>101</v>
      </c>
      <c r="J38" s="10">
        <f>STDEV(H2:H24)</f>
        <v>190.46852986665607</v>
      </c>
      <c r="K38" t="s">
        <v>102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G20" sqref="G20"/>
    </sheetView>
  </sheetViews>
  <sheetFormatPr defaultRowHeight="14.25" x14ac:dyDescent="0.45"/>
  <cols>
    <col min="4" max="4" width="13.53125" customWidth="1"/>
  </cols>
  <sheetData>
    <row r="1" spans="1:5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45">
      <c r="A2">
        <v>279</v>
      </c>
      <c r="B2">
        <v>1</v>
      </c>
      <c r="C2">
        <v>1</v>
      </c>
      <c r="D2">
        <v>1</v>
      </c>
      <c r="E2">
        <v>1</v>
      </c>
    </row>
    <row r="3" spans="1:5" x14ac:dyDescent="0.45">
      <c r="A3">
        <v>379</v>
      </c>
      <c r="B3">
        <v>1</v>
      </c>
      <c r="C3">
        <v>2</v>
      </c>
      <c r="D3">
        <v>1</v>
      </c>
      <c r="E3">
        <v>1</v>
      </c>
    </row>
    <row r="4" spans="1:5" x14ac:dyDescent="0.45">
      <c r="A4">
        <v>399</v>
      </c>
      <c r="B4">
        <v>1</v>
      </c>
      <c r="C4">
        <v>1</v>
      </c>
      <c r="D4">
        <v>1</v>
      </c>
      <c r="E4">
        <v>2</v>
      </c>
    </row>
    <row r="5" spans="1:5" x14ac:dyDescent="0.45">
      <c r="A5">
        <v>399</v>
      </c>
      <c r="B5">
        <v>2</v>
      </c>
      <c r="C5">
        <v>1</v>
      </c>
      <c r="D5">
        <v>1</v>
      </c>
      <c r="E5">
        <v>1</v>
      </c>
    </row>
    <row r="6" spans="1:5" x14ac:dyDescent="0.45">
      <c r="A6">
        <v>409</v>
      </c>
      <c r="B6">
        <v>1</v>
      </c>
      <c r="C6">
        <v>1</v>
      </c>
      <c r="D6">
        <v>1</v>
      </c>
      <c r="E6">
        <v>1</v>
      </c>
    </row>
    <row r="7" spans="1:5" x14ac:dyDescent="0.45">
      <c r="A7">
        <v>499</v>
      </c>
      <c r="B7">
        <v>1</v>
      </c>
      <c r="C7">
        <v>3</v>
      </c>
      <c r="D7">
        <v>1</v>
      </c>
      <c r="E7">
        <v>2</v>
      </c>
    </row>
    <row r="8" spans="1:5" x14ac:dyDescent="0.45">
      <c r="A8">
        <v>499</v>
      </c>
      <c r="B8">
        <v>2</v>
      </c>
      <c r="C8">
        <v>2</v>
      </c>
      <c r="D8">
        <v>1</v>
      </c>
      <c r="E8">
        <v>1</v>
      </c>
    </row>
    <row r="9" spans="1:5" x14ac:dyDescent="0.45">
      <c r="A9">
        <v>499</v>
      </c>
      <c r="B9">
        <v>2</v>
      </c>
      <c r="C9">
        <v>1</v>
      </c>
      <c r="D9">
        <v>1</v>
      </c>
      <c r="E9">
        <v>2</v>
      </c>
    </row>
    <row r="10" spans="1:5" x14ac:dyDescent="0.45">
      <c r="A10">
        <v>529</v>
      </c>
      <c r="B10">
        <v>1</v>
      </c>
      <c r="C10">
        <v>1</v>
      </c>
      <c r="D10">
        <v>2</v>
      </c>
      <c r="E10">
        <v>2</v>
      </c>
    </row>
    <row r="11" spans="1:5" x14ac:dyDescent="0.45">
      <c r="A11">
        <v>529</v>
      </c>
      <c r="B11">
        <v>2</v>
      </c>
      <c r="C11">
        <v>1</v>
      </c>
      <c r="D11">
        <v>2</v>
      </c>
      <c r="E11">
        <v>1</v>
      </c>
    </row>
    <row r="12" spans="1:5" x14ac:dyDescent="0.45">
      <c r="A12">
        <v>599</v>
      </c>
      <c r="B12">
        <v>1</v>
      </c>
      <c r="C12">
        <v>4</v>
      </c>
      <c r="D12">
        <v>1</v>
      </c>
      <c r="E12">
        <v>2</v>
      </c>
    </row>
    <row r="13" spans="1:5" x14ac:dyDescent="0.45">
      <c r="A13">
        <v>599</v>
      </c>
      <c r="B13">
        <v>1</v>
      </c>
      <c r="C13">
        <v>3</v>
      </c>
      <c r="D13">
        <v>1</v>
      </c>
      <c r="E13">
        <v>2</v>
      </c>
    </row>
    <row r="14" spans="1:5" x14ac:dyDescent="0.45">
      <c r="A14">
        <v>609</v>
      </c>
      <c r="B14">
        <v>1</v>
      </c>
      <c r="C14">
        <v>2</v>
      </c>
      <c r="D14">
        <v>2</v>
      </c>
      <c r="E14">
        <v>1</v>
      </c>
    </row>
    <row r="15" spans="1:5" x14ac:dyDescent="0.45">
      <c r="A15">
        <v>629</v>
      </c>
      <c r="B15">
        <v>1</v>
      </c>
      <c r="C15">
        <v>3</v>
      </c>
      <c r="D15">
        <v>2</v>
      </c>
      <c r="E15">
        <v>2</v>
      </c>
    </row>
    <row r="16" spans="1:5" x14ac:dyDescent="0.45">
      <c r="A16">
        <v>629</v>
      </c>
      <c r="B16">
        <v>2</v>
      </c>
      <c r="C16">
        <v>2</v>
      </c>
      <c r="D16">
        <v>2</v>
      </c>
      <c r="E16">
        <v>1</v>
      </c>
    </row>
    <row r="17" spans="1:5" x14ac:dyDescent="0.45">
      <c r="A17">
        <v>629</v>
      </c>
      <c r="B17">
        <v>2</v>
      </c>
      <c r="C17">
        <v>1</v>
      </c>
      <c r="D17">
        <v>2</v>
      </c>
      <c r="E17">
        <v>2</v>
      </c>
    </row>
    <row r="18" spans="1:5" x14ac:dyDescent="0.45">
      <c r="A18">
        <v>699</v>
      </c>
      <c r="B18">
        <v>2</v>
      </c>
      <c r="C18">
        <v>4</v>
      </c>
      <c r="D18">
        <v>1</v>
      </c>
      <c r="E18">
        <v>2</v>
      </c>
    </row>
    <row r="19" spans="1:5" x14ac:dyDescent="0.45">
      <c r="A19">
        <v>729</v>
      </c>
      <c r="B19">
        <v>1</v>
      </c>
      <c r="C19">
        <v>4</v>
      </c>
      <c r="D19">
        <v>2</v>
      </c>
      <c r="E19">
        <v>2</v>
      </c>
    </row>
    <row r="20" spans="1:5" x14ac:dyDescent="0.45">
      <c r="A20">
        <v>729</v>
      </c>
      <c r="B20">
        <v>2</v>
      </c>
      <c r="C20">
        <v>3</v>
      </c>
      <c r="D20">
        <v>2</v>
      </c>
      <c r="E20">
        <v>2</v>
      </c>
    </row>
    <row r="21" spans="1:5" x14ac:dyDescent="0.45">
      <c r="A21">
        <v>799</v>
      </c>
      <c r="B21">
        <v>3</v>
      </c>
      <c r="C21">
        <v>2</v>
      </c>
      <c r="D21">
        <v>1</v>
      </c>
      <c r="E21">
        <v>2</v>
      </c>
    </row>
    <row r="22" spans="1:5" x14ac:dyDescent="0.45">
      <c r="A22">
        <v>829</v>
      </c>
      <c r="B22">
        <v>2</v>
      </c>
      <c r="C22">
        <v>4</v>
      </c>
      <c r="D22">
        <v>2</v>
      </c>
      <c r="E22">
        <v>2</v>
      </c>
    </row>
    <row r="23" spans="1:5" x14ac:dyDescent="0.45">
      <c r="A23">
        <v>949</v>
      </c>
      <c r="B23">
        <v>3</v>
      </c>
      <c r="C23">
        <v>4</v>
      </c>
      <c r="D23">
        <v>1</v>
      </c>
      <c r="E23">
        <v>2</v>
      </c>
    </row>
    <row r="24" spans="1:5" x14ac:dyDescent="0.45">
      <c r="A24">
        <v>1079</v>
      </c>
      <c r="B24">
        <v>3</v>
      </c>
      <c r="C24">
        <v>4</v>
      </c>
      <c r="D24">
        <v>2</v>
      </c>
      <c r="E2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5" workbookViewId="0">
      <selection activeCell="G26" sqref="G26"/>
    </sheetView>
  </sheetViews>
  <sheetFormatPr defaultRowHeight="14.25" x14ac:dyDescent="0.45"/>
  <cols>
    <col min="1" max="1" width="15.33203125" customWidth="1"/>
    <col min="2" max="2" width="15" customWidth="1"/>
    <col min="6" max="6" width="11" customWidth="1"/>
  </cols>
  <sheetData>
    <row r="1" spans="1:9" x14ac:dyDescent="0.45">
      <c r="A1" t="s">
        <v>43</v>
      </c>
    </row>
    <row r="2" spans="1:9" ht="14.65" thickBot="1" x14ac:dyDescent="0.5"/>
    <row r="3" spans="1:9" x14ac:dyDescent="0.45">
      <c r="A3" s="9" t="s">
        <v>44</v>
      </c>
      <c r="B3" s="9"/>
    </row>
    <row r="4" spans="1:9" x14ac:dyDescent="0.45">
      <c r="A4" s="6" t="s">
        <v>45</v>
      </c>
      <c r="B4" s="6">
        <v>0.96508718670622162</v>
      </c>
    </row>
    <row r="5" spans="1:9" x14ac:dyDescent="0.45">
      <c r="A5" s="6" t="s">
        <v>46</v>
      </c>
      <c r="B5" s="6">
        <v>0.93139327794452953</v>
      </c>
    </row>
    <row r="6" spans="1:9" x14ac:dyDescent="0.45">
      <c r="A6" s="6" t="s">
        <v>47</v>
      </c>
      <c r="B6" s="6">
        <v>0.91614733970998052</v>
      </c>
    </row>
    <row r="7" spans="1:9" x14ac:dyDescent="0.45">
      <c r="A7" s="6" t="s">
        <v>48</v>
      </c>
      <c r="B7" s="6">
        <v>55.154588971438805</v>
      </c>
    </row>
    <row r="8" spans="1:9" ht="14.65" thickBot="1" x14ac:dyDescent="0.5">
      <c r="A8" s="7" t="s">
        <v>49</v>
      </c>
      <c r="B8" s="7">
        <v>23</v>
      </c>
    </row>
    <row r="10" spans="1:9" ht="14.65" thickBot="1" x14ac:dyDescent="0.5">
      <c r="A10" t="s">
        <v>50</v>
      </c>
    </row>
    <row r="11" spans="1:9" x14ac:dyDescent="0.45">
      <c r="A11" s="8"/>
      <c r="B11" s="8" t="s">
        <v>55</v>
      </c>
      <c r="C11" s="8" t="s">
        <v>56</v>
      </c>
      <c r="D11" s="8" t="s">
        <v>57</v>
      </c>
      <c r="E11" s="8" t="s">
        <v>58</v>
      </c>
      <c r="F11" s="8" t="s">
        <v>59</v>
      </c>
    </row>
    <row r="12" spans="1:9" x14ac:dyDescent="0.45">
      <c r="A12" s="6" t="s">
        <v>51</v>
      </c>
      <c r="B12" s="6">
        <v>4</v>
      </c>
      <c r="C12" s="6">
        <v>743365.22280748433</v>
      </c>
      <c r="D12" s="6">
        <v>185841.30570187108</v>
      </c>
      <c r="E12" s="6">
        <v>61.091240408798747</v>
      </c>
      <c r="F12" s="6">
        <v>3.1595150573139771E-10</v>
      </c>
    </row>
    <row r="13" spans="1:9" x14ac:dyDescent="0.45">
      <c r="A13" s="6" t="s">
        <v>52</v>
      </c>
      <c r="B13" s="6">
        <v>18</v>
      </c>
      <c r="C13" s="6">
        <v>54756.516322950461</v>
      </c>
      <c r="D13" s="6">
        <v>3042.0286846083591</v>
      </c>
      <c r="E13" s="6"/>
      <c r="F13" s="6"/>
    </row>
    <row r="14" spans="1:9" ht="14.65" thickBot="1" x14ac:dyDescent="0.5">
      <c r="A14" s="7" t="s">
        <v>53</v>
      </c>
      <c r="B14" s="7">
        <v>22</v>
      </c>
      <c r="C14" s="7">
        <v>798121.73913043481</v>
      </c>
      <c r="D14" s="7"/>
      <c r="E14" s="7"/>
      <c r="F14" s="7"/>
    </row>
    <row r="15" spans="1:9" ht="14.65" thickBot="1" x14ac:dyDescent="0.5"/>
    <row r="16" spans="1:9" x14ac:dyDescent="0.45">
      <c r="A16" s="8"/>
      <c r="B16" s="8" t="s">
        <v>60</v>
      </c>
      <c r="C16" s="8" t="s">
        <v>48</v>
      </c>
      <c r="D16" s="8" t="s">
        <v>61</v>
      </c>
      <c r="E16" s="8" t="s">
        <v>62</v>
      </c>
      <c r="F16" s="8" t="s">
        <v>63</v>
      </c>
      <c r="G16" s="8" t="s">
        <v>64</v>
      </c>
      <c r="H16" s="8" t="s">
        <v>65</v>
      </c>
      <c r="I16" s="8" t="s">
        <v>66</v>
      </c>
    </row>
    <row r="17" spans="1:10" x14ac:dyDescent="0.45">
      <c r="A17" s="6" t="s">
        <v>54</v>
      </c>
      <c r="B17" s="6">
        <v>-87.801924582426338</v>
      </c>
      <c r="C17" s="6">
        <v>54.904089607920305</v>
      </c>
      <c r="D17" s="6">
        <v>-1.599187332117429</v>
      </c>
      <c r="E17" s="6">
        <v>0.12718409341774045</v>
      </c>
      <c r="F17" s="6">
        <v>-203.15113653907503</v>
      </c>
      <c r="G17" s="6">
        <v>27.54728737422235</v>
      </c>
      <c r="H17" s="6">
        <v>-203.15113653907503</v>
      </c>
      <c r="I17" s="6">
        <v>27.54728737422235</v>
      </c>
    </row>
    <row r="18" spans="1:10" x14ac:dyDescent="0.45">
      <c r="A18" s="6" t="s">
        <v>3</v>
      </c>
      <c r="B18" s="6">
        <v>141.21943553963169</v>
      </c>
      <c r="C18" s="6">
        <v>16.845238413205596</v>
      </c>
      <c r="D18" s="6">
        <v>8.3833444250290121</v>
      </c>
      <c r="E18" s="6">
        <v>1.2504046637332126E-7</v>
      </c>
      <c r="F18" s="6">
        <v>105.82890288421308</v>
      </c>
      <c r="G18" s="6">
        <v>176.6099681950503</v>
      </c>
      <c r="H18" s="6">
        <v>105.82890288421308</v>
      </c>
      <c r="I18" s="6">
        <v>176.6099681950503</v>
      </c>
    </row>
    <row r="19" spans="1:10" x14ac:dyDescent="0.45">
      <c r="A19" s="6" t="s">
        <v>4</v>
      </c>
      <c r="B19" s="6">
        <v>75.74386139349366</v>
      </c>
      <c r="C19" s="6">
        <v>11.297206286578605</v>
      </c>
      <c r="D19" s="6">
        <v>6.7046541837055296</v>
      </c>
      <c r="E19" s="6">
        <v>2.750501103785549E-6</v>
      </c>
      <c r="F19" s="6">
        <v>52.009311712871053</v>
      </c>
      <c r="G19" s="6">
        <v>99.478411074116266</v>
      </c>
      <c r="H19" s="6">
        <v>52.009311712871053</v>
      </c>
      <c r="I19" s="6">
        <v>99.478411074116266</v>
      </c>
    </row>
    <row r="20" spans="1:10" x14ac:dyDescent="0.45">
      <c r="A20" s="6" t="s">
        <v>5</v>
      </c>
      <c r="B20" s="6">
        <v>114.63002645729405</v>
      </c>
      <c r="C20" s="6">
        <v>23.374906203124254</v>
      </c>
      <c r="D20" s="6">
        <v>4.9039780293096014</v>
      </c>
      <c r="E20" s="6">
        <v>1.1433703507656058E-4</v>
      </c>
      <c r="F20" s="6">
        <v>65.521170826583358</v>
      </c>
      <c r="G20" s="6">
        <v>163.73888208800474</v>
      </c>
      <c r="H20" s="6">
        <v>65.521170826583358</v>
      </c>
      <c r="I20" s="6">
        <v>163.73888208800474</v>
      </c>
    </row>
    <row r="21" spans="1:10" ht="14.65" thickBot="1" x14ac:dyDescent="0.5">
      <c r="A21" s="7" t="s">
        <v>6</v>
      </c>
      <c r="B21" s="7">
        <v>71.240692803958922</v>
      </c>
      <c r="C21" s="7">
        <v>28.257322092821195</v>
      </c>
      <c r="D21" s="7">
        <v>2.5211409832093645</v>
      </c>
      <c r="E21" s="7">
        <v>2.1347756489239773E-2</v>
      </c>
      <c r="F21" s="7">
        <v>11.874262020960863</v>
      </c>
      <c r="G21" s="7">
        <v>130.60712358695699</v>
      </c>
      <c r="H21" s="7">
        <v>11.874262020960863</v>
      </c>
      <c r="I21" s="7">
        <v>130.60712358695699</v>
      </c>
    </row>
    <row r="23" spans="1:10" x14ac:dyDescent="0.45">
      <c r="A23" t="s">
        <v>67</v>
      </c>
    </row>
    <row r="25" spans="1:10" x14ac:dyDescent="0.45">
      <c r="A25" t="s">
        <v>68</v>
      </c>
      <c r="B25" t="s">
        <v>69</v>
      </c>
      <c r="C25" t="s">
        <v>70</v>
      </c>
      <c r="D25" t="s">
        <v>71</v>
      </c>
      <c r="E25" t="s">
        <v>72</v>
      </c>
      <c r="F25" t="s">
        <v>73</v>
      </c>
      <c r="G25" t="s">
        <v>74</v>
      </c>
      <c r="H25" t="s">
        <v>75</v>
      </c>
      <c r="I25" t="s">
        <v>76</v>
      </c>
      <c r="J25" t="s">
        <v>77</v>
      </c>
    </row>
    <row r="26" spans="1:10" ht="14.65" thickBot="1" x14ac:dyDescent="0.5">
      <c r="B26" s="6">
        <v>141.21943553963169</v>
      </c>
      <c r="C26">
        <f>VLOOKUP(dashboard!G6,encoding!P3:Q5,2,0)</f>
        <v>2</v>
      </c>
      <c r="D26" s="6">
        <v>75.74386139349366</v>
      </c>
      <c r="E26" s="6">
        <f>VLOOKUP(dashboard!J6,encoding!P8:Q11,2,0)</f>
        <v>4</v>
      </c>
      <c r="F26" s="6">
        <v>114.63002645729405</v>
      </c>
      <c r="G26" s="6">
        <f>VLOOKUP(dashboard!M6,encoding!P14:Q15,2,0)</f>
        <v>2</v>
      </c>
      <c r="H26" s="7">
        <v>71.240692803958922</v>
      </c>
      <c r="I26" s="6">
        <f>VLOOKUP(dashboard!P6,encoding!P18:Q19,2,0)</f>
        <v>1</v>
      </c>
      <c r="J26" s="6">
        <v>-87.801924582426338</v>
      </c>
    </row>
    <row r="28" spans="1:10" x14ac:dyDescent="0.45">
      <c r="B28">
        <f>B26*C26+D26*E26+F26*G26+H26*I26+J26</f>
        <v>798.1131377893588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Q17"/>
  <sheetViews>
    <sheetView showGridLines="0" tabSelected="1" workbookViewId="0">
      <selection activeCell="M16" sqref="M16:N17"/>
    </sheetView>
  </sheetViews>
  <sheetFormatPr defaultRowHeight="14.25" x14ac:dyDescent="0.45"/>
  <sheetData>
    <row r="4" spans="7:17" x14ac:dyDescent="0.45">
      <c r="G4" s="17" t="s">
        <v>78</v>
      </c>
      <c r="H4" s="14"/>
      <c r="J4" s="15" t="s">
        <v>4</v>
      </c>
      <c r="K4" s="18"/>
      <c r="M4" s="15" t="s">
        <v>79</v>
      </c>
      <c r="N4" s="14"/>
      <c r="P4" s="13" t="s">
        <v>80</v>
      </c>
      <c r="Q4" s="14"/>
    </row>
    <row r="5" spans="7:17" x14ac:dyDescent="0.45">
      <c r="G5" s="14"/>
      <c r="H5" s="14"/>
      <c r="J5" s="18"/>
      <c r="K5" s="18"/>
      <c r="M5" s="14"/>
      <c r="N5" s="14"/>
      <c r="P5" s="14"/>
      <c r="Q5" s="14"/>
    </row>
    <row r="6" spans="7:17" x14ac:dyDescent="0.45">
      <c r="G6" s="14" t="s">
        <v>17</v>
      </c>
      <c r="H6" s="14"/>
      <c r="J6" s="14" t="s">
        <v>26</v>
      </c>
      <c r="K6" s="14"/>
      <c r="M6" s="14" t="s">
        <v>23</v>
      </c>
      <c r="N6" s="14"/>
      <c r="P6" s="14" t="s">
        <v>11</v>
      </c>
      <c r="Q6" s="14"/>
    </row>
    <row r="7" spans="7:17" x14ac:dyDescent="0.45">
      <c r="G7" s="14"/>
      <c r="H7" s="14"/>
      <c r="J7" s="14"/>
      <c r="K7" s="14"/>
      <c r="M7" s="14"/>
      <c r="N7" s="14"/>
      <c r="P7" s="14"/>
      <c r="Q7" s="14"/>
    </row>
    <row r="14" spans="7:17" x14ac:dyDescent="0.45">
      <c r="I14" s="15" t="s">
        <v>81</v>
      </c>
      <c r="J14" s="14"/>
      <c r="M14" s="15" t="s">
        <v>82</v>
      </c>
      <c r="N14" s="14"/>
    </row>
    <row r="15" spans="7:17" x14ac:dyDescent="0.45">
      <c r="I15" s="14"/>
      <c r="J15" s="14"/>
      <c r="M15" s="14"/>
      <c r="N15" s="14"/>
    </row>
    <row r="16" spans="7:17" x14ac:dyDescent="0.45">
      <c r="I16" s="19">
        <f>regressition!B28</f>
        <v>798.1131377893588</v>
      </c>
      <c r="J16" s="19"/>
      <c r="M16" s="16">
        <f>I16*78</f>
        <v>62252.82474756999</v>
      </c>
      <c r="N16" s="16"/>
    </row>
    <row r="17" spans="9:14" x14ac:dyDescent="0.45">
      <c r="I17" s="19"/>
      <c r="J17" s="19"/>
      <c r="M17" s="16"/>
      <c r="N17" s="16"/>
    </row>
  </sheetData>
  <mergeCells count="12">
    <mergeCell ref="I14:J15"/>
    <mergeCell ref="I16:J17"/>
    <mergeCell ref="M14:N15"/>
    <mergeCell ref="M16:N17"/>
    <mergeCell ref="G4:H5"/>
    <mergeCell ref="J4:K5"/>
    <mergeCell ref="M4:N5"/>
    <mergeCell ref="P4:Q5"/>
    <mergeCell ref="G6:H7"/>
    <mergeCell ref="J6:K7"/>
    <mergeCell ref="M6:N7"/>
    <mergeCell ref="P6:Q7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>
          <x14:formula1>
            <xm:f>encoding!$P$3:$P$5</xm:f>
          </x14:formula1>
          <xm:sqref>G6:H7</xm:sqref>
        </x14:dataValidation>
        <x14:dataValidation type="list" allowBlank="1" showInputMessage="1" showErrorMessage="1">
          <x14:formula1>
            <xm:f>encoding!$P$8:$P$11</xm:f>
          </x14:formula1>
          <xm:sqref>J6:K7</xm:sqref>
        </x14:dataValidation>
        <x14:dataValidation type="list" showInputMessage="1" showErrorMessage="1">
          <x14:formula1>
            <xm:f>encoding!$P$14:$P$15</xm:f>
          </x14:formula1>
          <xm:sqref>M6:N7</xm:sqref>
        </x14:dataValidation>
        <x14:dataValidation type="list" showInputMessage="1" showErrorMessage="1">
          <x14:formula1>
            <xm:f>encoding!$P$18:$P$19</xm:f>
          </x14:formula1>
          <xm:sqref>P6:Q7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encoding</vt:lpstr>
      <vt:lpstr>Modeling data</vt:lpstr>
      <vt:lpstr>regressition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Surendher Shatamoni</cp:lastModifiedBy>
  <dcterms:created xsi:type="dcterms:W3CDTF">2019-10-09T07:09:48Z</dcterms:created>
  <dcterms:modified xsi:type="dcterms:W3CDTF">2025-01-08T02:51:51Z</dcterms:modified>
</cp:coreProperties>
</file>