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uren\Downloads\"/>
    </mc:Choice>
  </mc:AlternateContent>
  <bookViews>
    <workbookView xWindow="0" yWindow="0" windowWidth="21600" windowHeight="9255"/>
  </bookViews>
  <sheets>
    <sheet name="Data" sheetId="1" r:id="rId1"/>
    <sheet name="Sheet1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4" i="1" l="1"/>
  <c r="I8" i="2"/>
  <c r="I7" i="2" l="1"/>
  <c r="I9" i="2" s="1"/>
  <c r="F7" i="2"/>
  <c r="I15" i="2"/>
  <c r="I14" i="2"/>
  <c r="I12" i="2"/>
  <c r="I11" i="2"/>
  <c r="F8" i="2"/>
  <c r="I6" i="2"/>
  <c r="I5" i="2"/>
  <c r="I4" i="2"/>
  <c r="F4" i="2"/>
  <c r="I3" i="2"/>
  <c r="I2" i="2"/>
  <c r="F14" i="2"/>
  <c r="F15" i="2"/>
  <c r="F12" i="2"/>
  <c r="F11" i="2"/>
  <c r="F9" i="2"/>
  <c r="F6" i="2"/>
  <c r="F5" i="2"/>
  <c r="F3" i="2"/>
  <c r="F2" i="2"/>
</calcChain>
</file>

<file path=xl/sharedStrings.xml><?xml version="1.0" encoding="utf-8"?>
<sst xmlns="http://schemas.openxmlformats.org/spreadsheetml/2006/main" count="56" uniqueCount="54">
  <si>
    <t>Sr. No.</t>
  </si>
  <si>
    <t>Store ID</t>
  </si>
  <si>
    <t>Employee Count</t>
  </si>
  <si>
    <t>Daily Store Revenue</t>
  </si>
  <si>
    <t>BANG-C10-SS1</t>
  </si>
  <si>
    <t>BANG-C10-SS2</t>
  </si>
  <si>
    <t>BANG-C10-SS3</t>
  </si>
  <si>
    <t>BANG-C10-SS4</t>
  </si>
  <si>
    <t>BANG-C10-SS5</t>
  </si>
  <si>
    <t>BANG-C10-SS6</t>
  </si>
  <si>
    <t>BANG-C10-SS7</t>
  </si>
  <si>
    <t>BANG-C10-SS8</t>
  </si>
  <si>
    <t>BANG-C10-SS9</t>
  </si>
  <si>
    <t>BANG-C10-SS10</t>
  </si>
  <si>
    <t>BANG-C10-SS11</t>
  </si>
  <si>
    <t>BANG-C10-SS12</t>
  </si>
  <si>
    <t>BANG-C10-SS13</t>
  </si>
  <si>
    <t>BANG-C10-SS14</t>
  </si>
  <si>
    <t>BANG-C10-SS15</t>
  </si>
  <si>
    <t>BANG-C10-SS16</t>
  </si>
  <si>
    <t>BANG-C10-SS17</t>
  </si>
  <si>
    <t>BANG-C10-SS18</t>
  </si>
  <si>
    <t>BANG-C10-SS19</t>
  </si>
  <si>
    <t>BANG-C10-SS20</t>
  </si>
  <si>
    <t>mean</t>
  </si>
  <si>
    <t>minimum</t>
  </si>
  <si>
    <t>Q1</t>
  </si>
  <si>
    <t>q3</t>
  </si>
  <si>
    <t>q2</t>
  </si>
  <si>
    <t>maximum</t>
  </si>
  <si>
    <t>mode</t>
  </si>
  <si>
    <t>range</t>
  </si>
  <si>
    <t>varance</t>
  </si>
  <si>
    <t>sd</t>
  </si>
  <si>
    <t>skewness</t>
  </si>
  <si>
    <t>kurtosis</t>
  </si>
  <si>
    <t>employe count</t>
  </si>
  <si>
    <t>analyst</t>
  </si>
  <si>
    <t>daily store revenue</t>
  </si>
  <si>
    <t>step 1</t>
  </si>
  <si>
    <t xml:space="preserve"> </t>
  </si>
  <si>
    <t>understand the problem statement</t>
  </si>
  <si>
    <t>build a predictive modal to estimate the revenue  generation of the store if have 120 employes</t>
  </si>
  <si>
    <t>step 2</t>
  </si>
  <si>
    <t>understand the data</t>
  </si>
  <si>
    <t>step 3</t>
  </si>
  <si>
    <t xml:space="preserve">data clasifacation </t>
  </si>
  <si>
    <t>eda</t>
  </si>
  <si>
    <t>step 4</t>
  </si>
  <si>
    <t>descriptive  statistics</t>
  </si>
  <si>
    <t>step 5</t>
  </si>
  <si>
    <t xml:space="preserve">relationship study </t>
  </si>
  <si>
    <t>correlation</t>
  </si>
  <si>
    <t>;=correlation c2:c20,d2:d20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</si>
</sst>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3" fillId="0" borderId="0" xfId="0" applyFont="1"/>
    <xf numFmtId="164" fontId="0" fillId="0" borderId="0" xfId="0" applyNumberFormat="1"/>
    <xf numFmtId="1" fontId="0" fillId="0" borderId="0" xfId="0" applyNumberFormat="1"/>
    <xf numFmtId="2" fontId="0" fillId="0" borderId="0" xfId="0" applyNumberFormat="1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tabSelected="1" zoomScale="150" zoomScaleNormal="150" workbookViewId="0">
      <selection activeCell="G14" sqref="G14"/>
    </sheetView>
  </sheetViews>
  <sheetFormatPr defaultRowHeight="14.25" x14ac:dyDescent="0.45"/>
  <cols>
    <col min="1" max="1" width="6.6640625" bestFit="1" customWidth="1"/>
    <col min="2" max="2" width="14.46484375" bestFit="1" customWidth="1"/>
    <col min="3" max="3" width="15.19921875" bestFit="1" customWidth="1"/>
    <col min="4" max="4" width="18.53125" bestFit="1" customWidth="1"/>
  </cols>
  <sheetData>
    <row r="1" spans="1:8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45">
      <c r="A2" s="2">
        <v>1</v>
      </c>
      <c r="B2" s="2" t="s">
        <v>4</v>
      </c>
      <c r="C2" s="2">
        <v>41</v>
      </c>
      <c r="D2" s="2">
        <v>240060</v>
      </c>
      <c r="F2" t="s">
        <v>39</v>
      </c>
      <c r="G2" t="s">
        <v>41</v>
      </c>
    </row>
    <row r="3" spans="1:8" x14ac:dyDescent="0.45">
      <c r="A3" s="2">
        <v>2</v>
      </c>
      <c r="B3" s="2" t="s">
        <v>5</v>
      </c>
      <c r="C3" s="2">
        <v>50</v>
      </c>
      <c r="D3" s="2">
        <v>276950</v>
      </c>
      <c r="F3" t="s">
        <v>40</v>
      </c>
      <c r="G3" t="s">
        <v>42</v>
      </c>
    </row>
    <row r="4" spans="1:8" x14ac:dyDescent="0.45">
      <c r="A4" s="2">
        <v>3</v>
      </c>
      <c r="B4" s="2" t="s">
        <v>6</v>
      </c>
      <c r="C4" s="2">
        <v>41</v>
      </c>
      <c r="D4" s="2">
        <v>267980</v>
      </c>
      <c r="F4" t="s">
        <v>43</v>
      </c>
    </row>
    <row r="5" spans="1:8" x14ac:dyDescent="0.45">
      <c r="A5" s="2">
        <v>4</v>
      </c>
      <c r="B5" s="2" t="s">
        <v>7</v>
      </c>
      <c r="C5" s="2">
        <v>58</v>
      </c>
      <c r="D5" s="2">
        <v>290490</v>
      </c>
      <c r="G5" t="s">
        <v>44</v>
      </c>
    </row>
    <row r="6" spans="1:8" x14ac:dyDescent="0.45">
      <c r="A6" s="2">
        <v>5</v>
      </c>
      <c r="B6" s="2" t="s">
        <v>8</v>
      </c>
      <c r="C6" s="2">
        <v>66</v>
      </c>
      <c r="D6" s="2">
        <v>312040</v>
      </c>
      <c r="F6" t="s">
        <v>45</v>
      </c>
    </row>
    <row r="7" spans="1:8" x14ac:dyDescent="0.45">
      <c r="A7" s="2">
        <v>6</v>
      </c>
      <c r="B7" s="2" t="s">
        <v>9</v>
      </c>
      <c r="C7" s="2">
        <v>33</v>
      </c>
      <c r="D7" s="2">
        <v>243020</v>
      </c>
      <c r="G7" t="s">
        <v>46</v>
      </c>
    </row>
    <row r="8" spans="1:8" x14ac:dyDescent="0.45">
      <c r="A8" s="2">
        <v>7</v>
      </c>
      <c r="B8" s="2" t="s">
        <v>10</v>
      </c>
      <c r="C8" s="2">
        <v>83</v>
      </c>
      <c r="D8" s="2">
        <v>296790</v>
      </c>
      <c r="G8" t="s">
        <v>47</v>
      </c>
    </row>
    <row r="9" spans="1:8" x14ac:dyDescent="0.45">
      <c r="A9" s="2">
        <v>8</v>
      </c>
      <c r="B9" s="2" t="s">
        <v>11</v>
      </c>
      <c r="C9" s="2">
        <v>41</v>
      </c>
      <c r="D9" s="2">
        <v>254030</v>
      </c>
      <c r="F9" t="s">
        <v>48</v>
      </c>
    </row>
    <row r="10" spans="1:8" x14ac:dyDescent="0.45">
      <c r="A10" s="2">
        <v>9</v>
      </c>
      <c r="B10" s="2" t="s">
        <v>12</v>
      </c>
      <c r="C10" s="2">
        <v>58</v>
      </c>
      <c r="D10" s="2">
        <v>270010</v>
      </c>
      <c r="G10" t="s">
        <v>49</v>
      </c>
    </row>
    <row r="11" spans="1:8" x14ac:dyDescent="0.45">
      <c r="A11" s="2">
        <v>10</v>
      </c>
      <c r="B11" s="2" t="s">
        <v>13</v>
      </c>
      <c r="C11" s="2">
        <v>58</v>
      </c>
      <c r="D11" s="2">
        <v>300040</v>
      </c>
      <c r="F11" t="s">
        <v>50</v>
      </c>
    </row>
    <row r="12" spans="1:8" x14ac:dyDescent="0.45">
      <c r="A12" s="2">
        <v>11</v>
      </c>
      <c r="B12" s="2" t="s">
        <v>14</v>
      </c>
      <c r="C12" s="2">
        <v>83</v>
      </c>
      <c r="D12" s="2">
        <v>294540</v>
      </c>
      <c r="G12" t="s">
        <v>51</v>
      </c>
    </row>
    <row r="13" spans="1:8" x14ac:dyDescent="0.45">
      <c r="A13" s="2">
        <v>12</v>
      </c>
      <c r="B13" s="2" t="s">
        <v>15</v>
      </c>
      <c r="C13" s="2">
        <v>98</v>
      </c>
      <c r="D13" s="2">
        <v>324050</v>
      </c>
      <c r="G13" t="s">
        <v>52</v>
      </c>
    </row>
    <row r="14" spans="1:8" x14ac:dyDescent="0.45">
      <c r="A14" s="2">
        <v>13</v>
      </c>
      <c r="B14" s="2" t="s">
        <v>16</v>
      </c>
      <c r="C14" s="2">
        <v>66</v>
      </c>
      <c r="D14" s="2">
        <v>283300</v>
      </c>
      <c r="G14" s="9">
        <f>CORREL(C2:C21,D2:D21)</f>
        <v>0.85503420351033887</v>
      </c>
      <c r="H14" t="s">
        <v>53</v>
      </c>
    </row>
    <row r="15" spans="1:8" x14ac:dyDescent="0.45">
      <c r="A15" s="2">
        <v>14</v>
      </c>
      <c r="B15" s="2" t="s">
        <v>17</v>
      </c>
      <c r="C15" s="2">
        <v>83</v>
      </c>
      <c r="D15" s="2">
        <v>310440</v>
      </c>
    </row>
    <row r="16" spans="1:8" x14ac:dyDescent="0.45">
      <c r="A16" s="2">
        <v>15</v>
      </c>
      <c r="B16" s="2" t="s">
        <v>18</v>
      </c>
      <c r="C16" s="2">
        <v>41</v>
      </c>
      <c r="D16" s="2">
        <v>245600</v>
      </c>
    </row>
    <row r="17" spans="1:4" x14ac:dyDescent="0.45">
      <c r="A17" s="2">
        <v>16</v>
      </c>
      <c r="B17" s="2" t="s">
        <v>19</v>
      </c>
      <c r="C17" s="2">
        <v>58</v>
      </c>
      <c r="D17" s="2">
        <v>300590</v>
      </c>
    </row>
    <row r="18" spans="1:4" x14ac:dyDescent="0.45">
      <c r="A18" s="2">
        <v>17</v>
      </c>
      <c r="B18" s="2" t="s">
        <v>20</v>
      </c>
      <c r="C18" s="2">
        <v>66</v>
      </c>
      <c r="D18" s="2">
        <v>304950</v>
      </c>
    </row>
    <row r="19" spans="1:4" x14ac:dyDescent="0.45">
      <c r="A19" s="2">
        <v>18</v>
      </c>
      <c r="B19" s="2" t="s">
        <v>21</v>
      </c>
      <c r="C19" s="2">
        <v>75</v>
      </c>
      <c r="D19" s="2">
        <v>294050</v>
      </c>
    </row>
    <row r="20" spans="1:4" x14ac:dyDescent="0.45">
      <c r="A20" s="2">
        <v>19</v>
      </c>
      <c r="B20" s="2" t="s">
        <v>22</v>
      </c>
      <c r="C20" s="2">
        <v>83</v>
      </c>
      <c r="D20" s="2">
        <v>310030</v>
      </c>
    </row>
    <row r="21" spans="1:4" x14ac:dyDescent="0.45">
      <c r="A21" s="2">
        <v>20</v>
      </c>
      <c r="B21" s="2" t="s">
        <v>23</v>
      </c>
      <c r="C21" s="2">
        <v>89</v>
      </c>
      <c r="D21" s="2">
        <v>303480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2"/>
  <sheetViews>
    <sheetView workbookViewId="0">
      <selection activeCell="I9" sqref="I9"/>
    </sheetView>
  </sheetViews>
  <sheetFormatPr defaultRowHeight="14.25" x14ac:dyDescent="0.45"/>
  <cols>
    <col min="1" max="1" width="17.1328125" customWidth="1"/>
    <col min="2" max="2" width="22.46484375" customWidth="1"/>
    <col min="5" max="5" width="11.06640625" customWidth="1"/>
    <col min="9" max="9" width="17.6640625" customWidth="1"/>
  </cols>
  <sheetData>
    <row r="1" spans="1:9" ht="18" x14ac:dyDescent="0.55000000000000004">
      <c r="A1" s="3" t="s">
        <v>2</v>
      </c>
      <c r="B1" s="3" t="s">
        <v>3</v>
      </c>
      <c r="E1" t="s">
        <v>36</v>
      </c>
      <c r="G1" t="s">
        <v>37</v>
      </c>
      <c r="I1" t="s">
        <v>38</v>
      </c>
    </row>
    <row r="2" spans="1:9" ht="18" x14ac:dyDescent="0.55000000000000004">
      <c r="A2" s="4">
        <v>41</v>
      </c>
      <c r="B2" s="4">
        <v>240060</v>
      </c>
      <c r="E2" t="s">
        <v>25</v>
      </c>
      <c r="F2">
        <f>MIN(A2:A21)</f>
        <v>33</v>
      </c>
      <c r="I2">
        <f>MIN(B2:B21)</f>
        <v>240060</v>
      </c>
    </row>
    <row r="3" spans="1:9" ht="18" x14ac:dyDescent="0.55000000000000004">
      <c r="A3" s="4">
        <v>50</v>
      </c>
      <c r="B3" s="4">
        <v>276950</v>
      </c>
      <c r="E3" t="s">
        <v>26</v>
      </c>
      <c r="F3" s="7">
        <f>QUARTILE(A2:A21,1)</f>
        <v>47.75</v>
      </c>
      <c r="I3" s="7">
        <f>QUARTILE(B2:B21,1)</f>
        <v>269502.5</v>
      </c>
    </row>
    <row r="4" spans="1:9" ht="18" x14ac:dyDescent="0.55000000000000004">
      <c r="A4" s="4">
        <v>41</v>
      </c>
      <c r="B4" s="4">
        <v>267980</v>
      </c>
      <c r="E4" t="s">
        <v>24</v>
      </c>
      <c r="F4" s="7">
        <f>AVERAGE(A2:A21)</f>
        <v>63.55</v>
      </c>
      <c r="I4">
        <f>AVERAGE(B2:B21)</f>
        <v>286122</v>
      </c>
    </row>
    <row r="5" spans="1:9" ht="18" x14ac:dyDescent="0.55000000000000004">
      <c r="A5" s="4">
        <v>58</v>
      </c>
      <c r="B5" s="4">
        <v>290490</v>
      </c>
      <c r="E5" t="s">
        <v>28</v>
      </c>
      <c r="F5">
        <f>QUARTILE(A2:A21,2)</f>
        <v>62</v>
      </c>
      <c r="I5">
        <f>QUARTILE(B2:B21,2)</f>
        <v>294295</v>
      </c>
    </row>
    <row r="6" spans="1:9" ht="18" x14ac:dyDescent="0.55000000000000004">
      <c r="A6" s="4">
        <v>66</v>
      </c>
      <c r="B6" s="4">
        <v>312040</v>
      </c>
      <c r="E6" t="s">
        <v>27</v>
      </c>
      <c r="F6">
        <f>QUARTILE(A2:A21,3)</f>
        <v>83</v>
      </c>
      <c r="I6" s="7">
        <f>QUARTILE(B2:B21,3)</f>
        <v>303847.5</v>
      </c>
    </row>
    <row r="7" spans="1:9" ht="18" x14ac:dyDescent="0.55000000000000004">
      <c r="A7" s="4">
        <v>33</v>
      </c>
      <c r="B7" s="4">
        <v>243020</v>
      </c>
      <c r="E7" t="s">
        <v>29</v>
      </c>
      <c r="F7">
        <f>MAX(A2:A21)</f>
        <v>98</v>
      </c>
      <c r="I7">
        <f>MAX(B2:B21)</f>
        <v>324050</v>
      </c>
    </row>
    <row r="8" spans="1:9" ht="18" x14ac:dyDescent="0.55000000000000004">
      <c r="A8" s="4">
        <v>83</v>
      </c>
      <c r="B8" s="4">
        <v>296790</v>
      </c>
      <c r="E8" t="s">
        <v>30</v>
      </c>
      <c r="F8">
        <f>MODE(A2:A21)</f>
        <v>41</v>
      </c>
      <c r="I8" t="e">
        <f>MODE(B2:B21)</f>
        <v>#N/A</v>
      </c>
    </row>
    <row r="9" spans="1:9" ht="18" x14ac:dyDescent="0.55000000000000004">
      <c r="A9" s="4">
        <v>41</v>
      </c>
      <c r="B9" s="4">
        <v>254030</v>
      </c>
      <c r="E9" t="s">
        <v>31</v>
      </c>
      <c r="F9">
        <f>98-33</f>
        <v>65</v>
      </c>
      <c r="I9">
        <f>I7-I2</f>
        <v>83990</v>
      </c>
    </row>
    <row r="10" spans="1:9" ht="18" x14ac:dyDescent="0.55000000000000004">
      <c r="A10" s="4">
        <v>58</v>
      </c>
      <c r="B10" s="4">
        <v>270010</v>
      </c>
    </row>
    <row r="11" spans="1:9" ht="18" x14ac:dyDescent="0.55000000000000004">
      <c r="A11" s="4">
        <v>58</v>
      </c>
      <c r="B11" s="4">
        <v>300040</v>
      </c>
      <c r="E11" t="s">
        <v>32</v>
      </c>
      <c r="F11" s="8">
        <f>VAR(A2:A21)</f>
        <v>356.36578947368406</v>
      </c>
      <c r="I11" s="7">
        <f>VAR(B2:B21)</f>
        <v>627942090.52631581</v>
      </c>
    </row>
    <row r="12" spans="1:9" ht="18" x14ac:dyDescent="0.55000000000000004">
      <c r="A12" s="4">
        <v>83</v>
      </c>
      <c r="B12" s="4">
        <v>294540</v>
      </c>
      <c r="E12" t="s">
        <v>33</v>
      </c>
      <c r="F12" s="8">
        <f>STDEV(A2:A21)</f>
        <v>18.877653177068492</v>
      </c>
      <c r="I12" s="6">
        <f>STDEV(B2:B21)</f>
        <v>25058.772725860217</v>
      </c>
    </row>
    <row r="13" spans="1:9" ht="18" x14ac:dyDescent="0.55000000000000004">
      <c r="A13" s="4">
        <v>98</v>
      </c>
      <c r="B13" s="4">
        <v>324050</v>
      </c>
    </row>
    <row r="14" spans="1:9" ht="18" x14ac:dyDescent="0.55000000000000004">
      <c r="A14" s="4">
        <v>66</v>
      </c>
      <c r="B14" s="4">
        <v>283300</v>
      </c>
      <c r="E14" t="s">
        <v>35</v>
      </c>
      <c r="F14" s="8">
        <f>KURT(A2:A21)</f>
        <v>-1.0587635639489386</v>
      </c>
      <c r="I14" s="8">
        <f>KURT(B2:B21)</f>
        <v>-0.71605261371376905</v>
      </c>
    </row>
    <row r="15" spans="1:9" ht="18" x14ac:dyDescent="0.55000000000000004">
      <c r="A15" s="4">
        <v>83</v>
      </c>
      <c r="B15" s="4">
        <v>310440</v>
      </c>
      <c r="E15" t="s">
        <v>34</v>
      </c>
      <c r="F15" s="8">
        <f>SKEW(A2:A21)</f>
        <v>9.3844076890814934E-2</v>
      </c>
      <c r="I15" s="8">
        <f>SKEW(B2:B21)</f>
        <v>-0.62548568421496653</v>
      </c>
    </row>
    <row r="16" spans="1:9" ht="18" x14ac:dyDescent="0.55000000000000004">
      <c r="A16" s="4">
        <v>41</v>
      </c>
      <c r="B16" s="4">
        <v>245600</v>
      </c>
    </row>
    <row r="17" spans="1:2" ht="18" x14ac:dyDescent="0.55000000000000004">
      <c r="A17" s="4">
        <v>58</v>
      </c>
      <c r="B17" s="4">
        <v>300590</v>
      </c>
    </row>
    <row r="18" spans="1:2" ht="18" x14ac:dyDescent="0.55000000000000004">
      <c r="A18" s="4">
        <v>66</v>
      </c>
      <c r="B18" s="4">
        <v>304950</v>
      </c>
    </row>
    <row r="19" spans="1:2" ht="18" x14ac:dyDescent="0.55000000000000004">
      <c r="A19" s="4">
        <v>75</v>
      </c>
      <c r="B19" s="4">
        <v>294050</v>
      </c>
    </row>
    <row r="20" spans="1:2" ht="18" x14ac:dyDescent="0.55000000000000004">
      <c r="A20" s="4">
        <v>83</v>
      </c>
      <c r="B20" s="4">
        <v>310030</v>
      </c>
    </row>
    <row r="21" spans="1:2" ht="18" x14ac:dyDescent="0.55000000000000004">
      <c r="A21" s="4">
        <v>89</v>
      </c>
      <c r="B21" s="4">
        <v>303480</v>
      </c>
    </row>
    <row r="22" spans="1:2" ht="18" x14ac:dyDescent="0.55000000000000004">
      <c r="A22" s="5"/>
      <c r="B22" s="5"/>
    </row>
    <row r="23" spans="1:2" ht="18" x14ac:dyDescent="0.55000000000000004">
      <c r="A23" s="5"/>
      <c r="B23" s="5"/>
    </row>
    <row r="24" spans="1:2" ht="18" x14ac:dyDescent="0.55000000000000004">
      <c r="A24" s="5"/>
      <c r="B24" s="5"/>
    </row>
    <row r="25" spans="1:2" ht="18" x14ac:dyDescent="0.55000000000000004">
      <c r="A25" s="5"/>
      <c r="B25" s="5"/>
    </row>
    <row r="26" spans="1:2" ht="18" x14ac:dyDescent="0.55000000000000004">
      <c r="A26" s="5"/>
      <c r="B26" s="5"/>
    </row>
    <row r="27" spans="1:2" ht="18" x14ac:dyDescent="0.55000000000000004">
      <c r="A27" s="5"/>
      <c r="B27" s="5"/>
    </row>
    <row r="28" spans="1:2" ht="18" x14ac:dyDescent="0.55000000000000004">
      <c r="A28" s="5"/>
      <c r="B28" s="5"/>
    </row>
    <row r="29" spans="1:2" ht="18" x14ac:dyDescent="0.55000000000000004">
      <c r="A29" s="5"/>
      <c r="B29" s="5"/>
    </row>
    <row r="30" spans="1:2" ht="18" x14ac:dyDescent="0.55000000000000004">
      <c r="A30" s="5"/>
      <c r="B30" s="5"/>
    </row>
    <row r="31" spans="1:2" ht="18" x14ac:dyDescent="0.55000000000000004">
      <c r="A31" s="5"/>
      <c r="B31" s="5"/>
    </row>
    <row r="32" spans="1:2" ht="18" x14ac:dyDescent="0.55000000000000004">
      <c r="A32" s="5"/>
      <c r="B32" s="5"/>
    </row>
    <row r="33" spans="1:2" ht="18" x14ac:dyDescent="0.55000000000000004">
      <c r="A33" s="5"/>
      <c r="B33" s="5"/>
    </row>
    <row r="34" spans="1:2" ht="18" x14ac:dyDescent="0.55000000000000004">
      <c r="A34" s="5"/>
      <c r="B34" s="5"/>
    </row>
    <row r="35" spans="1:2" ht="18" x14ac:dyDescent="0.55000000000000004">
      <c r="A35" s="5"/>
      <c r="B35" s="5"/>
    </row>
    <row r="36" spans="1:2" ht="18" x14ac:dyDescent="0.55000000000000004">
      <c r="A36" s="5"/>
      <c r="B36" s="5"/>
    </row>
    <row r="37" spans="1:2" ht="18" x14ac:dyDescent="0.55000000000000004">
      <c r="A37" s="5"/>
      <c r="B37" s="5"/>
    </row>
    <row r="38" spans="1:2" ht="18" x14ac:dyDescent="0.55000000000000004">
      <c r="A38" s="5"/>
      <c r="B38" s="5"/>
    </row>
    <row r="39" spans="1:2" ht="18" x14ac:dyDescent="0.55000000000000004">
      <c r="A39" s="5"/>
      <c r="B39" s="5"/>
    </row>
    <row r="40" spans="1:2" ht="18" x14ac:dyDescent="0.55000000000000004">
      <c r="A40" s="5"/>
      <c r="B40" s="5"/>
    </row>
    <row r="41" spans="1:2" ht="18" x14ac:dyDescent="0.55000000000000004">
      <c r="A41" s="5"/>
      <c r="B41" s="5"/>
    </row>
    <row r="42" spans="1:2" ht="18" x14ac:dyDescent="0.55000000000000004">
      <c r="A42" s="5"/>
      <c r="B42" s="5"/>
    </row>
    <row r="43" spans="1:2" ht="18" x14ac:dyDescent="0.55000000000000004">
      <c r="A43" s="5"/>
      <c r="B43" s="5"/>
    </row>
    <row r="44" spans="1:2" ht="18" x14ac:dyDescent="0.55000000000000004">
      <c r="A44" s="5"/>
      <c r="B44" s="5"/>
    </row>
    <row r="45" spans="1:2" ht="18" x14ac:dyDescent="0.55000000000000004">
      <c r="A45" s="5"/>
      <c r="B45" s="5"/>
    </row>
    <row r="46" spans="1:2" ht="18" x14ac:dyDescent="0.55000000000000004">
      <c r="A46" s="5"/>
      <c r="B46" s="5"/>
    </row>
    <row r="47" spans="1:2" ht="18" x14ac:dyDescent="0.55000000000000004">
      <c r="A47" s="5"/>
      <c r="B47" s="5"/>
    </row>
    <row r="48" spans="1:2" ht="18" x14ac:dyDescent="0.55000000000000004">
      <c r="A48" s="5"/>
      <c r="B48" s="5"/>
    </row>
    <row r="49" spans="1:2" ht="18" x14ac:dyDescent="0.55000000000000004">
      <c r="A49" s="5"/>
      <c r="B49" s="5"/>
    </row>
    <row r="50" spans="1:2" ht="18" x14ac:dyDescent="0.55000000000000004">
      <c r="A50" s="5"/>
      <c r="B50" s="5"/>
    </row>
    <row r="51" spans="1:2" ht="18" x14ac:dyDescent="0.55000000000000004">
      <c r="A51" s="5"/>
      <c r="B51" s="5"/>
    </row>
    <row r="52" spans="1:2" ht="18" x14ac:dyDescent="0.55000000000000004">
      <c r="A52" s="5"/>
      <c r="B52" s="5"/>
    </row>
    <row r="53" spans="1:2" ht="18" x14ac:dyDescent="0.55000000000000004">
      <c r="A53" s="5"/>
      <c r="B53" s="5"/>
    </row>
    <row r="54" spans="1:2" ht="18" x14ac:dyDescent="0.55000000000000004">
      <c r="A54" s="5"/>
      <c r="B54" s="5"/>
    </row>
    <row r="55" spans="1:2" ht="18" x14ac:dyDescent="0.55000000000000004">
      <c r="A55" s="5"/>
      <c r="B55" s="5"/>
    </row>
    <row r="56" spans="1:2" ht="18" x14ac:dyDescent="0.55000000000000004">
      <c r="A56" s="5"/>
      <c r="B56" s="5"/>
    </row>
    <row r="57" spans="1:2" ht="18" x14ac:dyDescent="0.55000000000000004">
      <c r="A57" s="5"/>
      <c r="B57" s="5"/>
    </row>
    <row r="58" spans="1:2" ht="18" x14ac:dyDescent="0.55000000000000004">
      <c r="A58" s="5"/>
      <c r="B58" s="5"/>
    </row>
    <row r="59" spans="1:2" ht="18" x14ac:dyDescent="0.55000000000000004">
      <c r="A59" s="5"/>
      <c r="B59" s="5"/>
    </row>
    <row r="60" spans="1:2" ht="18" x14ac:dyDescent="0.55000000000000004">
      <c r="A60" s="5"/>
      <c r="B60" s="5"/>
    </row>
    <row r="61" spans="1:2" ht="18" x14ac:dyDescent="0.55000000000000004">
      <c r="A61" s="5"/>
      <c r="B61" s="5"/>
    </row>
    <row r="62" spans="1:2" ht="18" x14ac:dyDescent="0.55000000000000004">
      <c r="A62" s="5"/>
      <c r="B62" s="5"/>
    </row>
    <row r="63" spans="1:2" ht="18" x14ac:dyDescent="0.55000000000000004">
      <c r="A63" s="5"/>
      <c r="B63" s="5"/>
    </row>
    <row r="64" spans="1:2" ht="18" x14ac:dyDescent="0.55000000000000004">
      <c r="A64" s="5"/>
      <c r="B64" s="5"/>
    </row>
    <row r="65" spans="1:2" ht="18" x14ac:dyDescent="0.55000000000000004">
      <c r="A65" s="5"/>
      <c r="B65" s="5"/>
    </row>
    <row r="66" spans="1:2" ht="18" x14ac:dyDescent="0.55000000000000004">
      <c r="A66" s="5"/>
      <c r="B66" s="5"/>
    </row>
    <row r="67" spans="1:2" ht="18" x14ac:dyDescent="0.55000000000000004">
      <c r="A67" s="5"/>
      <c r="B67" s="5"/>
    </row>
    <row r="68" spans="1:2" ht="18" x14ac:dyDescent="0.55000000000000004">
      <c r="A68" s="5"/>
      <c r="B68" s="5"/>
    </row>
    <row r="69" spans="1:2" ht="18" x14ac:dyDescent="0.55000000000000004">
      <c r="A69" s="5"/>
      <c r="B69" s="5"/>
    </row>
    <row r="70" spans="1:2" ht="18" x14ac:dyDescent="0.55000000000000004">
      <c r="A70" s="5"/>
      <c r="B70" s="5"/>
    </row>
    <row r="71" spans="1:2" ht="18" x14ac:dyDescent="0.55000000000000004">
      <c r="A71" s="5"/>
      <c r="B71" s="5"/>
    </row>
    <row r="72" spans="1:2" ht="18" x14ac:dyDescent="0.55000000000000004">
      <c r="A72" s="5"/>
      <c r="B72" s="5"/>
    </row>
    <row r="73" spans="1:2" ht="18" x14ac:dyDescent="0.55000000000000004">
      <c r="A73" s="5"/>
      <c r="B73" s="5"/>
    </row>
    <row r="74" spans="1:2" ht="18" x14ac:dyDescent="0.55000000000000004">
      <c r="A74" s="5"/>
      <c r="B74" s="5"/>
    </row>
    <row r="75" spans="1:2" ht="18" x14ac:dyDescent="0.55000000000000004">
      <c r="A75" s="5"/>
      <c r="B75" s="5"/>
    </row>
    <row r="76" spans="1:2" ht="18" x14ac:dyDescent="0.55000000000000004">
      <c r="A76" s="5"/>
      <c r="B76" s="5"/>
    </row>
    <row r="77" spans="1:2" ht="18" x14ac:dyDescent="0.55000000000000004">
      <c r="A77" s="5"/>
      <c r="B77" s="5"/>
    </row>
    <row r="78" spans="1:2" ht="18" x14ac:dyDescent="0.55000000000000004">
      <c r="A78" s="5"/>
      <c r="B78" s="5"/>
    </row>
    <row r="79" spans="1:2" ht="18" x14ac:dyDescent="0.55000000000000004">
      <c r="A79" s="5"/>
      <c r="B79" s="5"/>
    </row>
    <row r="80" spans="1:2" ht="18" x14ac:dyDescent="0.55000000000000004">
      <c r="A80" s="5"/>
      <c r="B80" s="5"/>
    </row>
    <row r="81" spans="1:2" ht="18" x14ac:dyDescent="0.55000000000000004">
      <c r="A81" s="5"/>
      <c r="B81" s="5"/>
    </row>
    <row r="82" spans="1:2" ht="18" x14ac:dyDescent="0.55000000000000004">
      <c r="A82" s="5"/>
      <c r="B8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Shivam</dc:creator>
  <cp:lastModifiedBy>Surendher Shatamoni</cp:lastModifiedBy>
  <dcterms:created xsi:type="dcterms:W3CDTF">2023-05-10T02:24:47Z</dcterms:created>
  <dcterms:modified xsi:type="dcterms:W3CDTF">2024-06-25T23:57:23Z</dcterms:modified>
</cp:coreProperties>
</file>